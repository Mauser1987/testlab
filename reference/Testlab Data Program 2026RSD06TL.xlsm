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3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PROJECTS 2026\2026RSD03TL - ADNOC - BAB (Unit B)\Test Data\"/>
    </mc:Choice>
  </mc:AlternateContent>
  <xr:revisionPtr revIDLastSave="0" documentId="13_ncr:1_{EA707274-3B73-4FB5-90A4-BCD9AB787393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Main" sheetId="2" r:id="rId1"/>
    <sheet name="DataBase" sheetId="1" state="hidden" r:id="rId2"/>
    <sheet name="Input" sheetId="3" state="hidden" r:id="rId3"/>
    <sheet name="Results" sheetId="4" state="hidden" r:id="rId4"/>
    <sheet name="Blad1" sheetId="7" state="hidden" r:id="rId5"/>
    <sheet name="TCN" sheetId="12" state="hidden" r:id="rId6"/>
    <sheet name="Summary" sheetId="11" state="hidden" r:id="rId7"/>
    <sheet name="Test Data Sheet" sheetId="8" state="hidden" r:id="rId8"/>
  </sheets>
  <definedNames>
    <definedName name="_xlnm.Print_Titles" localSheetId="7">'Test Data Sheet'!$1:$6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M13" i="3" l="1"/>
  <c r="M12" i="3"/>
  <c r="M11" i="3"/>
  <c r="M10" i="3"/>
  <c r="G13" i="3"/>
  <c r="G12" i="3"/>
  <c r="G11" i="3"/>
  <c r="G10" i="3"/>
  <c r="K24" i="3" l="1"/>
  <c r="K23" i="3"/>
  <c r="K22" i="3"/>
  <c r="K21" i="3"/>
  <c r="E12" i="3" l="1"/>
  <c r="E11" i="3"/>
  <c r="HD2" i="4" l="1"/>
  <c r="HC2" i="4"/>
  <c r="HA2" i="4"/>
  <c r="GZ2" i="4"/>
  <c r="GY2" i="4"/>
  <c r="GX2" i="4"/>
  <c r="GW2" i="4"/>
  <c r="GV2" i="4"/>
  <c r="GU2" i="4"/>
  <c r="GT2" i="4"/>
  <c r="GS2" i="4"/>
  <c r="GR2" i="4"/>
  <c r="GQ2" i="4"/>
  <c r="GP2" i="4"/>
  <c r="GO2" i="4"/>
  <c r="GN2" i="4"/>
  <c r="GM2" i="4"/>
  <c r="GL2" i="4"/>
  <c r="GK2" i="4"/>
  <c r="GJ2" i="4"/>
  <c r="GI2" i="4"/>
  <c r="GH2" i="4"/>
  <c r="GG2" i="4"/>
  <c r="GF2" i="4"/>
  <c r="GE2" i="4"/>
  <c r="GD2" i="4"/>
  <c r="FR2" i="4"/>
  <c r="FQ2" i="4"/>
  <c r="Q23" i="4" l="1"/>
  <c r="O23" i="4"/>
  <c r="J23" i="4"/>
  <c r="H23" i="4"/>
  <c r="Q26" i="4"/>
  <c r="O26" i="4"/>
  <c r="J26" i="4"/>
  <c r="H26" i="4"/>
  <c r="HJ2" i="4" l="1"/>
  <c r="HI2" i="4"/>
  <c r="HH2" i="4"/>
  <c r="HG2" i="4"/>
  <c r="Q14" i="4" l="1"/>
  <c r="Q13" i="4"/>
  <c r="O16" i="3" l="1"/>
  <c r="I16" i="3"/>
  <c r="O18" i="3"/>
  <c r="O17" i="3"/>
  <c r="I18" i="3"/>
  <c r="I17" i="3"/>
  <c r="M18" i="3"/>
  <c r="M17" i="3"/>
  <c r="M16" i="3"/>
  <c r="M15" i="3"/>
  <c r="EZ2" i="3" l="1"/>
  <c r="EY2" i="3"/>
  <c r="EX2" i="3"/>
  <c r="EW2" i="3"/>
  <c r="EV2" i="3"/>
  <c r="EU2" i="3"/>
  <c r="ET2" i="3"/>
  <c r="ES2" i="3"/>
  <c r="ER2" i="3"/>
  <c r="EQ2" i="3"/>
  <c r="EP2" i="3"/>
  <c r="EO2" i="3"/>
  <c r="EN2" i="3"/>
  <c r="EM2" i="3"/>
  <c r="EL2" i="3"/>
  <c r="EK2" i="3"/>
  <c r="EJ2" i="3"/>
  <c r="EI2" i="3"/>
  <c r="EH2" i="3"/>
  <c r="EG2" i="3"/>
  <c r="EF2" i="3"/>
  <c r="EE2" i="3"/>
  <c r="ED2" i="3"/>
  <c r="EC2" i="3"/>
  <c r="EB2" i="3"/>
  <c r="EA2" i="3" l="1"/>
  <c r="HF2" i="4"/>
  <c r="M18" i="4"/>
  <c r="C33" i="8" l="1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GC2" i="4" l="1"/>
  <c r="GB2" i="4"/>
  <c r="GA2" i="4"/>
  <c r="FZ2" i="4"/>
  <c r="FY2" i="4"/>
  <c r="FX2" i="4"/>
  <c r="FW2" i="4"/>
  <c r="FN2" i="4"/>
  <c r="FO2" i="4"/>
  <c r="FP2" i="4"/>
  <c r="FS2" i="4"/>
  <c r="FT2" i="4"/>
  <c r="FU2" i="4"/>
  <c r="FV2" i="4"/>
  <c r="HB2" i="4"/>
  <c r="HE2" i="4"/>
  <c r="Q25" i="4" l="1"/>
  <c r="Q24" i="4"/>
  <c r="Q22" i="4"/>
  <c r="Q21" i="4"/>
  <c r="J25" i="4"/>
  <c r="J24" i="4"/>
  <c r="J22" i="4"/>
  <c r="J21" i="4"/>
  <c r="I16" i="4"/>
  <c r="I15" i="4"/>
  <c r="I14" i="4"/>
  <c r="I13" i="4"/>
  <c r="O25" i="4" l="1"/>
  <c r="O24" i="4"/>
  <c r="O22" i="4"/>
  <c r="O21" i="4"/>
  <c r="H22" i="4"/>
  <c r="H24" i="4"/>
  <c r="H25" i="4"/>
  <c r="H21" i="4"/>
  <c r="M14" i="4" l="1"/>
  <c r="M13" i="4"/>
  <c r="E13" i="4"/>
  <c r="E16" i="4"/>
  <c r="M16" i="4"/>
  <c r="E15" i="4"/>
  <c r="M15" i="4"/>
  <c r="E14" i="4"/>
  <c r="HJ2" i="1" l="1"/>
  <c r="HF2" i="1"/>
  <c r="B3" i="11" s="1"/>
  <c r="C3" i="11" s="1"/>
  <c r="HB2" i="1"/>
  <c r="P30" i="11" s="1"/>
  <c r="Q30" i="11" s="1"/>
  <c r="HI2" i="1"/>
  <c r="HE2" i="1"/>
  <c r="HA2" i="1"/>
  <c r="L32" i="11" s="1"/>
  <c r="M32" i="11" s="1"/>
  <c r="HH2" i="1"/>
  <c r="HD2" i="1"/>
  <c r="P32" i="11" s="1"/>
  <c r="Q32" i="11" s="1"/>
  <c r="HK2" i="1"/>
  <c r="HK2" i="4" s="1"/>
  <c r="HG2" i="1"/>
  <c r="HC2" i="1"/>
  <c r="P31" i="11" s="1"/>
  <c r="Q31" i="11" s="1"/>
  <c r="GZ2" i="1"/>
  <c r="L31" i="11" s="1"/>
  <c r="M31" i="11" s="1"/>
  <c r="GO2" i="1"/>
  <c r="J32" i="11" s="1"/>
  <c r="K32" i="11" s="1"/>
  <c r="FU2" i="1"/>
  <c r="B10" i="11" s="1"/>
  <c r="C10" i="11" s="1"/>
  <c r="GK2" i="1"/>
  <c r="M25" i="11" s="1"/>
  <c r="N25" i="11" s="1"/>
  <c r="FZ2" i="1"/>
  <c r="F11" i="11" s="1"/>
  <c r="G11" i="11" s="1"/>
  <c r="GP2" i="1"/>
  <c r="N30" i="11" s="1"/>
  <c r="O30" i="11" s="1"/>
  <c r="GS2" i="1"/>
  <c r="D30" i="11" s="1"/>
  <c r="GE2" i="1"/>
  <c r="B31" i="11" s="1"/>
  <c r="C31" i="11" s="1"/>
  <c r="FW2" i="1"/>
  <c r="F8" i="11" s="1"/>
  <c r="G8" i="11" s="1"/>
  <c r="GJ2" i="1"/>
  <c r="M24" i="11" s="1"/>
  <c r="N24" i="11" s="1"/>
  <c r="GY2" i="1"/>
  <c r="L30" i="11" s="1"/>
  <c r="M30" i="11" s="1"/>
  <c r="GT2" i="1"/>
  <c r="D31" i="11" s="1"/>
  <c r="E31" i="11" s="1"/>
  <c r="FY2" i="1"/>
  <c r="F10" i="11" s="1"/>
  <c r="G10" i="11" s="1"/>
  <c r="FN2" i="1"/>
  <c r="B22" i="11" s="1"/>
  <c r="GD2" i="1"/>
  <c r="B30" i="11" s="1"/>
  <c r="GM2" i="1"/>
  <c r="J30" i="11" s="1"/>
  <c r="K30" i="11" s="1"/>
  <c r="GA2" i="1"/>
  <c r="E24" i="11" s="1"/>
  <c r="F24" i="11" s="1"/>
  <c r="GF2" i="1"/>
  <c r="B32" i="11" s="1"/>
  <c r="C32" i="11" s="1"/>
  <c r="GB2" i="1"/>
  <c r="E25" i="11" s="1"/>
  <c r="F25" i="11" s="1"/>
  <c r="EW2" i="1"/>
  <c r="FE2" i="1"/>
  <c r="FE2" i="4" s="1"/>
  <c r="FI2" i="1"/>
  <c r="FI2" i="4" s="1"/>
  <c r="FM2" i="1"/>
  <c r="FM2" i="4" s="1"/>
  <c r="FL2" i="1"/>
  <c r="FL2" i="4" s="1"/>
  <c r="FA2" i="1"/>
  <c r="EN2" i="1"/>
  <c r="EM2" i="1"/>
  <c r="ES2" i="1"/>
  <c r="ET2" i="1"/>
  <c r="EC2" i="1"/>
  <c r="EU2" i="1"/>
  <c r="EI2" i="1"/>
  <c r="E9" i="12" s="1"/>
  <c r="EK2" i="1"/>
  <c r="EF2" i="1"/>
  <c r="ED2" i="1"/>
  <c r="FJ2" i="1"/>
  <c r="FJ2" i="4" s="1"/>
  <c r="FG2" i="1"/>
  <c r="FG2" i="4" s="1"/>
  <c r="EY2" i="1"/>
  <c r="EE2" i="1"/>
  <c r="B1" i="11" s="1"/>
  <c r="ER2" i="1"/>
  <c r="EX2" i="1"/>
  <c r="H25" i="12" s="1"/>
  <c r="EH2" i="1"/>
  <c r="EH2" i="4" s="1"/>
  <c r="GV2" i="1"/>
  <c r="H30" i="11" s="1"/>
  <c r="I30" i="11" s="1"/>
  <c r="GI2" i="1"/>
  <c r="F32" i="11" s="1"/>
  <c r="G32" i="11" s="1"/>
  <c r="GR2" i="1"/>
  <c r="N32" i="11" s="1"/>
  <c r="O32" i="11" s="1"/>
  <c r="GL2" i="1"/>
  <c r="M26" i="11" s="1"/>
  <c r="N26" i="11" s="1"/>
  <c r="GG2" i="1"/>
  <c r="F30" i="11" s="1"/>
  <c r="G30" i="11" s="1"/>
  <c r="GQ2" i="1"/>
  <c r="N31" i="11" s="1"/>
  <c r="O31" i="11" s="1"/>
  <c r="GW2" i="1"/>
  <c r="H31" i="11" s="1"/>
  <c r="I31" i="11" s="1"/>
  <c r="FT2" i="1"/>
  <c r="B9" i="11" s="1"/>
  <c r="C9" i="11" s="1"/>
  <c r="FS2" i="1"/>
  <c r="B8" i="11" s="1"/>
  <c r="C8" i="11" s="1"/>
  <c r="FO2" i="1"/>
  <c r="B28" i="11" s="1"/>
  <c r="FR2" i="1"/>
  <c r="N28" i="11" s="1"/>
  <c r="GU2" i="1"/>
  <c r="D32" i="11" s="1"/>
  <c r="E32" i="11" s="1"/>
  <c r="GX2" i="1"/>
  <c r="H32" i="11" s="1"/>
  <c r="I32" i="11" s="1"/>
  <c r="EB2" i="1"/>
  <c r="EO2" i="1"/>
  <c r="EV2" i="1"/>
  <c r="EL2" i="1"/>
  <c r="FH2" i="1"/>
  <c r="FH2" i="4" s="1"/>
  <c r="FF2" i="1"/>
  <c r="FF2" i="4" s="1"/>
  <c r="EZ2" i="1"/>
  <c r="FK2" i="1"/>
  <c r="FK2" i="4" s="1"/>
  <c r="FC2" i="1"/>
  <c r="FC2" i="4" s="1"/>
  <c r="EQ2" i="1"/>
  <c r="FD2" i="1"/>
  <c r="FD2" i="4" s="1"/>
  <c r="EJ2" i="1"/>
  <c r="EP2" i="1"/>
  <c r="FB2" i="1"/>
  <c r="FB2" i="4" s="1"/>
  <c r="EG2" i="1"/>
  <c r="FP2" i="1"/>
  <c r="F28" i="11" s="1"/>
  <c r="EC4" i="3"/>
  <c r="FV2" i="1"/>
  <c r="B11" i="11" s="1"/>
  <c r="C11" i="11" s="1"/>
  <c r="FQ2" i="1"/>
  <c r="J28" i="11" s="1"/>
  <c r="FX2" i="1"/>
  <c r="F9" i="11" s="1"/>
  <c r="G9" i="11" s="1"/>
  <c r="GN2" i="1"/>
  <c r="J31" i="11" s="1"/>
  <c r="K31" i="11" s="1"/>
  <c r="GH2" i="1"/>
  <c r="F31" i="11" s="1"/>
  <c r="G31" i="11" s="1"/>
  <c r="GC2" i="1"/>
  <c r="E26" i="11" s="1"/>
  <c r="F26" i="11" s="1"/>
  <c r="H11" i="12" l="1"/>
  <c r="F6" i="11"/>
  <c r="B14" i="11"/>
  <c r="J23" i="11"/>
  <c r="H23" i="12"/>
  <c r="B23" i="11"/>
  <c r="J14" i="11"/>
  <c r="B4" i="11"/>
  <c r="C4" i="11" s="1"/>
  <c r="E21" i="12"/>
  <c r="EZ2" i="4"/>
  <c r="H27" i="12"/>
  <c r="H15" i="12"/>
  <c r="J18" i="11"/>
  <c r="EJ2" i="4"/>
  <c r="E20" i="12"/>
  <c r="EQ2" i="4"/>
  <c r="E26" i="12"/>
  <c r="B16" i="11"/>
  <c r="E13" i="12"/>
  <c r="E24" i="12"/>
  <c r="B7" i="11"/>
  <c r="EX2" i="4"/>
  <c r="EE2" i="4"/>
  <c r="B5" i="12"/>
  <c r="ED2" i="4"/>
  <c r="B2" i="12"/>
  <c r="E12" i="12"/>
  <c r="B15" i="11"/>
  <c r="H14" i="12"/>
  <c r="J17" i="11"/>
  <c r="H13" i="12"/>
  <c r="J16" i="11"/>
  <c r="E14" i="12"/>
  <c r="B17" i="11"/>
  <c r="E11" i="12"/>
  <c r="C30" i="11"/>
  <c r="C29" i="11"/>
  <c r="E30" i="11"/>
  <c r="E29" i="11"/>
  <c r="EP2" i="4"/>
  <c r="E25" i="12"/>
  <c r="ER2" i="4"/>
  <c r="E27" i="12"/>
  <c r="EY2" i="4"/>
  <c r="H26" i="12"/>
  <c r="EF2" i="4"/>
  <c r="E19" i="12"/>
  <c r="H12" i="12"/>
  <c r="J15" i="11"/>
  <c r="E15" i="12"/>
  <c r="B18" i="11"/>
  <c r="H24" i="12"/>
  <c r="F7" i="11"/>
  <c r="EW2" i="4"/>
  <c r="EO2" i="4"/>
  <c r="EG2" i="4"/>
  <c r="EV2" i="4"/>
  <c r="EK2" i="4"/>
  <c r="EU2" i="4"/>
  <c r="ET2" i="4"/>
  <c r="EM2" i="4"/>
  <c r="FA2" i="4"/>
  <c r="EL2" i="4"/>
  <c r="D6" i="4"/>
  <c r="EB2" i="4"/>
  <c r="EI2" i="4"/>
  <c r="N7" i="4"/>
  <c r="D7" i="4"/>
  <c r="EC2" i="4"/>
  <c r="ES2" i="4"/>
  <c r="EN2" i="4"/>
  <c r="C11" i="4" l="1"/>
  <c r="C31" i="4"/>
  <c r="C10" i="4"/>
  <c r="C30" i="4"/>
  <c r="K11" i="4"/>
  <c r="P20" i="4"/>
  <c r="C29" i="4"/>
  <c r="K10" i="4"/>
  <c r="I20" i="4"/>
  <c r="C28" i="4"/>
  <c r="N20" i="4"/>
  <c r="K16" i="4"/>
  <c r="G16" i="4"/>
  <c r="K15" i="4"/>
  <c r="G15" i="4"/>
  <c r="K14" i="4"/>
  <c r="O13" i="4"/>
  <c r="K13" i="4"/>
  <c r="G13" i="4"/>
  <c r="G20" i="4"/>
  <c r="O14" i="4"/>
  <c r="G14" i="4"/>
  <c r="EA2" i="4"/>
</calcChain>
</file>

<file path=xl/sharedStrings.xml><?xml version="1.0" encoding="utf-8"?>
<sst xmlns="http://schemas.openxmlformats.org/spreadsheetml/2006/main" count="728" uniqueCount="317">
  <si>
    <t>Product</t>
  </si>
  <si>
    <t>Speed</t>
  </si>
  <si>
    <t>TestUnit</t>
  </si>
  <si>
    <t/>
  </si>
  <si>
    <t xml:space="preserve">Project Number: </t>
  </si>
  <si>
    <t xml:space="preserve">Test Run: </t>
  </si>
  <si>
    <t xml:space="preserve">Test Unit: </t>
  </si>
  <si>
    <t xml:space="preserve">Speed: </t>
  </si>
  <si>
    <t xml:space="preserve">"Product" Medium: </t>
  </si>
  <si>
    <t xml:space="preserve">Prepared by: </t>
  </si>
  <si>
    <t>IBRotFace</t>
  </si>
  <si>
    <t>IBStatFace</t>
  </si>
  <si>
    <t>IBSpring</t>
  </si>
  <si>
    <t>OBRotFace</t>
  </si>
  <si>
    <t>OBStatFace</t>
  </si>
  <si>
    <t>OBSpring</t>
  </si>
  <si>
    <t>Duration</t>
  </si>
  <si>
    <t xml:space="preserve">Duration: </t>
  </si>
  <si>
    <t xml:space="preserve">Reference Drawings: </t>
  </si>
  <si>
    <t xml:space="preserve">Test Results Summary: </t>
  </si>
  <si>
    <t xml:space="preserve">Project Description: </t>
  </si>
  <si>
    <t>TestResultsSummary</t>
  </si>
  <si>
    <t>ProdPress</t>
  </si>
  <si>
    <t>ProdInLetTemp</t>
  </si>
  <si>
    <t>ProdOutletTemp</t>
  </si>
  <si>
    <t>ProdFlow</t>
  </si>
  <si>
    <t>BarPress</t>
  </si>
  <si>
    <t>BarInletTemp</t>
  </si>
  <si>
    <t>BarOutletTemp</t>
  </si>
  <si>
    <t>BarFlow</t>
  </si>
  <si>
    <t>IBSealLeak</t>
  </si>
  <si>
    <t>OBSealLeak</t>
  </si>
  <si>
    <t>IBFaceTemp</t>
  </si>
  <si>
    <t>OBFaceTemp</t>
  </si>
  <si>
    <t xml:space="preserve">Test Run Description: </t>
  </si>
  <si>
    <t>TestRunDescription</t>
  </si>
  <si>
    <t>ADD NEW TEST PROJECT AND/OR RUN TO DATABASE</t>
  </si>
  <si>
    <t>ADD TEST RESULTS TO EXISTING TEST RUN DATA</t>
  </si>
  <si>
    <t>PRINT TEST RESULTS FORM</t>
  </si>
  <si>
    <t>PRINT TEST CHANGE NOTICE (TCN) FORM</t>
  </si>
  <si>
    <t>SELECTED TEST PROJECT / RUN NUMBER</t>
  </si>
  <si>
    <t>MODIFY / DELETE / COPY EXISTING TEST RUN DATA</t>
  </si>
  <si>
    <t>ProjRunNo</t>
  </si>
  <si>
    <t>ProjNo</t>
  </si>
  <si>
    <t>RunNo</t>
  </si>
  <si>
    <t>ProjName</t>
  </si>
  <si>
    <t>By</t>
  </si>
  <si>
    <t>RefDwg</t>
  </si>
  <si>
    <t>IBSealType</t>
  </si>
  <si>
    <t>ProdTemp</t>
  </si>
  <si>
    <t>OBSealType</t>
  </si>
  <si>
    <t>Bar/Buf</t>
  </si>
  <si>
    <t>Bar/BufPress</t>
  </si>
  <si>
    <t>Bar/BufTemp</t>
  </si>
  <si>
    <t>Bar/BufFlow</t>
  </si>
  <si>
    <t>Arrangement</t>
  </si>
  <si>
    <t>ProdPressY/N</t>
  </si>
  <si>
    <t>PInletTempY/N</t>
  </si>
  <si>
    <t>POutletTempY/N</t>
  </si>
  <si>
    <t>ProdFlowY/N</t>
  </si>
  <si>
    <t>BPressY/N</t>
  </si>
  <si>
    <t>BInletTempY/N</t>
  </si>
  <si>
    <t>BOutletTempY/N</t>
  </si>
  <si>
    <t>BFlowY/N</t>
  </si>
  <si>
    <t>IBFaceTempY/N</t>
  </si>
  <si>
    <t>IBLeakY/N</t>
  </si>
  <si>
    <t>OBFaceTempY/N</t>
  </si>
  <si>
    <t>OBLeakY/N</t>
  </si>
  <si>
    <t>ProdPress2</t>
  </si>
  <si>
    <t>ProdFlow3</t>
  </si>
  <si>
    <t>IBWearRate</t>
  </si>
  <si>
    <t>OBWearRate</t>
  </si>
  <si>
    <t>IB Face Temp.</t>
  </si>
  <si>
    <t>IB Seal Leakage</t>
  </si>
  <si>
    <t>OB Face Temp.</t>
  </si>
  <si>
    <t>OB Seal Leakage</t>
  </si>
  <si>
    <t>SumBy</t>
  </si>
  <si>
    <t>IBRotTaperPre</t>
  </si>
  <si>
    <t>IBStatTaperPre</t>
  </si>
  <si>
    <t>IBStatWavyPre</t>
  </si>
  <si>
    <t>IBRotWavyPre</t>
  </si>
  <si>
    <t>TCNCreate</t>
  </si>
  <si>
    <t>IBStatTaperPost</t>
  </si>
  <si>
    <t>IBRotTaperPost</t>
  </si>
  <si>
    <t>IBStatWavyPost</t>
  </si>
  <si>
    <t>IBRotWavyPost</t>
  </si>
  <si>
    <t>OBStatTaperPost</t>
  </si>
  <si>
    <t>OBRotTaperPost</t>
  </si>
  <si>
    <t>OBStatWavyPost</t>
  </si>
  <si>
    <t>OBRotWavyPost</t>
  </si>
  <si>
    <t>OBStatTaperPre</t>
  </si>
  <si>
    <t>OBRotTaperPre</t>
  </si>
  <si>
    <t>OBStatWavyPre</t>
  </si>
  <si>
    <t>OBRotWavyPre</t>
  </si>
  <si>
    <t>Check if data exists:</t>
  </si>
  <si>
    <t xml:space="preserve">Waviness Stat. Face: </t>
  </si>
  <si>
    <t xml:space="preserve">Taper Stat. Face: </t>
  </si>
  <si>
    <t xml:space="preserve">Waviness Rot. Face: </t>
  </si>
  <si>
    <t xml:space="preserve">Taper Rot. Face: </t>
  </si>
  <si>
    <t>EE</t>
  </si>
  <si>
    <t>FF</t>
  </si>
  <si>
    <t>GG</t>
  </si>
  <si>
    <t>HH</t>
  </si>
  <si>
    <t>GV</t>
  </si>
  <si>
    <t>GU</t>
  </si>
  <si>
    <t>GT</t>
  </si>
  <si>
    <t>GS</t>
  </si>
  <si>
    <t>GR</t>
  </si>
  <si>
    <t>GQ</t>
  </si>
  <si>
    <t>GP</t>
  </si>
  <si>
    <t>GO</t>
  </si>
  <si>
    <t>GN</t>
  </si>
  <si>
    <t>GM</t>
  </si>
  <si>
    <t>GL</t>
  </si>
  <si>
    <t>GK</t>
  </si>
  <si>
    <t>GJ</t>
  </si>
  <si>
    <t>GI</t>
  </si>
  <si>
    <t>GH</t>
  </si>
  <si>
    <t>GF</t>
  </si>
  <si>
    <t>GE</t>
  </si>
  <si>
    <t>GD</t>
  </si>
  <si>
    <t>GC</t>
  </si>
  <si>
    <t>GB</t>
  </si>
  <si>
    <t>GA</t>
  </si>
  <si>
    <t>FZ</t>
  </si>
  <si>
    <t>FY</t>
  </si>
  <si>
    <t>FX</t>
  </si>
  <si>
    <t>FW</t>
  </si>
  <si>
    <t>FV</t>
  </si>
  <si>
    <t>FU</t>
  </si>
  <si>
    <t>FT</t>
  </si>
  <si>
    <t>FS</t>
  </si>
  <si>
    <t>FR</t>
  </si>
  <si>
    <t>FQ</t>
  </si>
  <si>
    <t>FP</t>
  </si>
  <si>
    <t>FO</t>
  </si>
  <si>
    <t>FN</t>
  </si>
  <si>
    <t>FM</t>
  </si>
  <si>
    <t>FL</t>
  </si>
  <si>
    <t>FK</t>
  </si>
  <si>
    <t>FJ</t>
  </si>
  <si>
    <t>FI</t>
  </si>
  <si>
    <t>FH</t>
  </si>
  <si>
    <t>FG</t>
  </si>
  <si>
    <t>FE</t>
  </si>
  <si>
    <t>FD</t>
  </si>
  <si>
    <t>FC</t>
  </si>
  <si>
    <t>FB</t>
  </si>
  <si>
    <t>FA</t>
  </si>
  <si>
    <t>EZ</t>
  </si>
  <si>
    <t>EY</t>
  </si>
  <si>
    <t>EX</t>
  </si>
  <si>
    <t>EW</t>
  </si>
  <si>
    <t>EV</t>
  </si>
  <si>
    <t>EU</t>
  </si>
  <si>
    <t>ET</t>
  </si>
  <si>
    <t>ES</t>
  </si>
  <si>
    <t>ER</t>
  </si>
  <si>
    <t>EQ</t>
  </si>
  <si>
    <t>EP</t>
  </si>
  <si>
    <t>EO</t>
  </si>
  <si>
    <t>EN</t>
  </si>
  <si>
    <t>EM</t>
  </si>
  <si>
    <t>EL</t>
  </si>
  <si>
    <t>EK</t>
  </si>
  <si>
    <t>EJ</t>
  </si>
  <si>
    <t>EI</t>
  </si>
  <si>
    <t>EH</t>
  </si>
  <si>
    <t>EG</t>
  </si>
  <si>
    <t>EF</t>
  </si>
  <si>
    <t>ED</t>
  </si>
  <si>
    <t>EC</t>
  </si>
  <si>
    <t>EB</t>
  </si>
  <si>
    <t>EA</t>
  </si>
  <si>
    <t>Inboard Seal</t>
  </si>
  <si>
    <t>Outboard Seal</t>
  </si>
  <si>
    <t>Date</t>
  </si>
  <si>
    <t>Time</t>
  </si>
  <si>
    <t>Running Hours</t>
  </si>
  <si>
    <t xml:space="preserve">Seal Type: </t>
  </si>
  <si>
    <t xml:space="preserve">Stationary Face: </t>
  </si>
  <si>
    <t xml:space="preserve">Rotating Face: </t>
  </si>
  <si>
    <t xml:space="preserve">Barrier Medium: </t>
  </si>
  <si>
    <t xml:space="preserve">Test Project Number: </t>
  </si>
  <si>
    <t>Torque
[Nm]</t>
  </si>
  <si>
    <t xml:space="preserve">Run no.: </t>
  </si>
  <si>
    <t xml:space="preserve">Torque before start up: </t>
  </si>
  <si>
    <t xml:space="preserve">Torque after stop: </t>
  </si>
  <si>
    <t xml:space="preserve">After 10 minutes: </t>
  </si>
  <si>
    <t>TestDuration</t>
  </si>
  <si>
    <t>GW</t>
  </si>
  <si>
    <t>IBSTPict</t>
  </si>
  <si>
    <t>IBRTPict</t>
  </si>
  <si>
    <t>OBSTPict</t>
  </si>
  <si>
    <t>OBRTPict</t>
  </si>
  <si>
    <t>GX</t>
  </si>
  <si>
    <t>GY</t>
  </si>
  <si>
    <t>GZ</t>
  </si>
  <si>
    <t>HA</t>
  </si>
  <si>
    <t>Seal Type and Size</t>
  </si>
  <si>
    <t>Stationary Face</t>
  </si>
  <si>
    <t>Rotating face</t>
  </si>
  <si>
    <t>Spring(s)</t>
  </si>
  <si>
    <t>SEAL INFORMATION</t>
  </si>
  <si>
    <t>Pressure</t>
  </si>
  <si>
    <t>Inlet Temperature</t>
  </si>
  <si>
    <t>Outlet Temperature</t>
  </si>
  <si>
    <t>Flow</t>
  </si>
  <si>
    <t>Pre-Work</t>
  </si>
  <si>
    <t>Post-Work</t>
  </si>
  <si>
    <t>Rotating Face</t>
  </si>
  <si>
    <t>TEST CONDITIONS</t>
  </si>
  <si>
    <t>Condition</t>
  </si>
  <si>
    <t>Face Temperature</t>
  </si>
  <si>
    <t>Wear Rate</t>
  </si>
  <si>
    <t>Waviness</t>
  </si>
  <si>
    <t>Roughness (Ra)</t>
  </si>
  <si>
    <t>Picture</t>
  </si>
  <si>
    <t>TEST RESULTS</t>
  </si>
  <si>
    <t>Medium</t>
  </si>
  <si>
    <t xml:space="preserve">Roughness Rot. Face (Ra): </t>
  </si>
  <si>
    <t xml:space="preserve">Roughness Stat. Face (Ra): </t>
  </si>
  <si>
    <t>IBStatFaceCond</t>
  </si>
  <si>
    <t>IBRotFaceCond</t>
  </si>
  <si>
    <t>OBStatFaceCond</t>
  </si>
  <si>
    <t>OBRotFaceCond</t>
  </si>
  <si>
    <t>OBStatRaPre</t>
  </si>
  <si>
    <t>IBStatRaPre</t>
  </si>
  <si>
    <t>IBRotRaPre</t>
  </si>
  <si>
    <t>OBRotRaPre</t>
  </si>
  <si>
    <t>IBStatRaPost</t>
  </si>
  <si>
    <t>IBRotRaPost</t>
  </si>
  <si>
    <t>OBStatRaPost</t>
  </si>
  <si>
    <t>OBRotRaPost</t>
  </si>
  <si>
    <t>HB</t>
  </si>
  <si>
    <t>HC</t>
  </si>
  <si>
    <t>HD</t>
  </si>
  <si>
    <t>HE</t>
  </si>
  <si>
    <t>HF</t>
  </si>
  <si>
    <t>HG</t>
  </si>
  <si>
    <t>HI</t>
  </si>
  <si>
    <t>HJ</t>
  </si>
  <si>
    <t>HK</t>
  </si>
  <si>
    <t>Summary</t>
  </si>
  <si>
    <t>Taper ("+" = Concave)</t>
  </si>
  <si>
    <t xml:space="preserve">Run No.: </t>
  </si>
  <si>
    <t>Leakage Rate</t>
  </si>
  <si>
    <t>Project Description:</t>
  </si>
  <si>
    <t>Test Run Description:</t>
  </si>
  <si>
    <t>Test Conditions:</t>
  </si>
  <si>
    <t>Seal Information:</t>
  </si>
  <si>
    <t>Seal Type and Size:</t>
  </si>
  <si>
    <t>Stationary Seal Face</t>
  </si>
  <si>
    <t>Rotating Seal Face:</t>
  </si>
  <si>
    <t>Spring(s):</t>
  </si>
  <si>
    <t>Test Medium:</t>
  </si>
  <si>
    <t>Test Unit:</t>
  </si>
  <si>
    <t>Duration:</t>
  </si>
  <si>
    <t>Speed:</t>
  </si>
  <si>
    <t>Process Fluid</t>
  </si>
  <si>
    <t>Pressure:</t>
  </si>
  <si>
    <t>Inlet Temperature:</t>
  </si>
  <si>
    <t>Flow:</t>
  </si>
  <si>
    <t>Reference Drawing:</t>
  </si>
  <si>
    <t xml:space="preserve">Process Medium: </t>
  </si>
  <si>
    <t xml:space="preserve">Process Pressure: </t>
  </si>
  <si>
    <t xml:space="preserve">Process Temperature: </t>
  </si>
  <si>
    <t xml:space="preserve">Process Flow: </t>
  </si>
  <si>
    <t>Process Pressure</t>
  </si>
  <si>
    <t>Process Inlet Temp.</t>
  </si>
  <si>
    <t>Process Outlet Temp.</t>
  </si>
  <si>
    <t>Process Flow</t>
  </si>
  <si>
    <t xml:space="preserve">Process Inlet Temp.: </t>
  </si>
  <si>
    <t xml:space="preserve">Process Outlet Temp.: </t>
  </si>
  <si>
    <t>Process Conditions</t>
  </si>
  <si>
    <t>CREATE TEST DATA SHEET</t>
  </si>
  <si>
    <t>Original Test Description</t>
  </si>
  <si>
    <t>TESTLAB DATA PROGRAM V1.01.006</t>
  </si>
  <si>
    <t xml:space="preserve"> </t>
  </si>
  <si>
    <t>B</t>
  </si>
  <si>
    <t>Water</t>
  </si>
  <si>
    <t>001</t>
  </si>
  <si>
    <t>TBD</t>
  </si>
  <si>
    <t>2025RSD02TL</t>
  </si>
  <si>
    <t>F001842744_2 / F001256462_2</t>
  </si>
  <si>
    <t>ACWA / DHTW 4.750</t>
  </si>
  <si>
    <t>MG</t>
  </si>
  <si>
    <t>DHTW 4.750</t>
  </si>
  <si>
    <t>C0625623AP</t>
  </si>
  <si>
    <t>C0625624SL - WAVY</t>
  </si>
  <si>
    <t>668818NL (16)</t>
  </si>
  <si>
    <t>668818NL (18)</t>
  </si>
  <si>
    <t>40°C</t>
  </si>
  <si>
    <t>• Pre-test work Job &amp; Plug seal, required on stationary and rotating seal faces.
   - Waviness measurement on 1 location
   - Taper measurement on 2 locations
   - Roughness measurement
   - Profile measurement
   - Height stationary face (only carbon)
• Install mechanical seals per drawing F001842744_2 (Plug) / F001256462_2 (Job)
   - Use soft face backing rings C100057354 (dwg F001172856)
   - Install thermocouple at plug seal stationary face.
• Pressurize to indicated pressure, measure break-out torque. Repeat torque measurements after 10 minutes.
• Start Test Unit
• Stop test unit and measure break-out torque. Repeat torque measurements after 10 minutes.
• Post-test work Job and plug seal, required on stationary and rotating seal faces.
   - Waviness measurement on 1 location
   - Taper measurement on 2 locations
   - Roughness measurement
   - Profile measurement
   - Height stationary face (only carbon)</t>
  </si>
  <si>
    <t>2026RSD03TL</t>
  </si>
  <si>
    <t>ADNOC BAB UHTW/UHTW 4.750/4.750</t>
  </si>
  <si>
    <t>F00321662 / D0527190-2 revB</t>
  </si>
  <si>
    <t>min 75</t>
  </si>
  <si>
    <t>UHTW 4.750</t>
  </si>
  <si>
    <t>C100603033 (SIC30)</t>
  </si>
  <si>
    <t>C100603035 (SL WAVY)</t>
  </si>
  <si>
    <t>C100603038 (SL WAVY)</t>
  </si>
  <si>
    <t>668838NL (9)</t>
  </si>
  <si>
    <t>668838NL (10)</t>
  </si>
  <si>
    <t>• Pre-test work required on stationary and rotating seal faces.
   - Waviness measurement on 1 location
   - Taper measurement on 2 locations
   - Roughness measurement
   - Profile measurement
   - Height stationary face (only carbon and SIC30)
• Install mechanical seals per drawing listed above
   - OB: #1 and #2 / IB: #3 and #4 
   - when possible install thermocouple at IB and OB seal stationary face.
• Pressurize to indicated pressure, measure break-out torque. Repeat torque measurements after 10 minutes.
• Start Test Unit
• Stop test unit and measure break-out torque. Repeat torque measurements after 10 minutes.
• Post-test work Job and plug seal, required on stationary and rotating seal faces.
   - Waviness measurement on 1 location
   - Taper measurement on 2 locations
   - Roughness measurement
   - Profile measurement
   - Height stationary face (only carbon and SIC30)</t>
  </si>
  <si>
    <t>002</t>
  </si>
  <si>
    <t>• Reversed rotation test, change rotation from CCW to CW
• LBO will become LBI and LBI will become LBO
• To ease rerouting the piping for the reversed rotation we allow flexible hoses knowing the flow may change
• Pre will be post from TCN001
• Install mechanical seals per F00321662 / D0527190-2 revB (except rotation)
   - OB: #1 and #2 / IB: #3 and #4 
   - when possible install thermocouple at IB and OB seal stationary face.
• Pressurize to indicated pressure, measure break-out torque. Repeat torque measurements after 10 minutes.
• Start Test Unit
• Stop test unit and measure break-out torque. Repeat torque measurements after 10 minutes.
• Post-test work Job and plug seal, required on stationary and rotating seal faces.
   - Waviness measurement on 1 location
   - Taper measurement on 2 locations
   - Roughness measurement
   - Profile measurement
   - Height stationary face (only carbon and SIC30)</t>
  </si>
  <si>
    <t>C0618722SL</t>
  </si>
  <si>
    <t>MT</t>
  </si>
  <si>
    <t>003</t>
  </si>
  <si>
    <t xml:space="preserve">• Install mechanical seals per F00321662 / D0527190-2 revB   
 - when possible install thermocouple at IB and OB seal stationary face.
• Pressurize to indicated pressure, measure break-out torque. Repeat torque measurements after 10 minutes.
• Start Test Unit
• Stop test unit and measure break-out torque. Repeat torque measurements after 10 minutes.
• Post-test work Job and plug seal, required on stationary and rotating seal faces.
   - Waviness measurement on 1 location
   - Taper measurement on 2 locations
   - Roughness measurement
   - Profile measurement
</t>
  </si>
  <si>
    <t>C0619339SL</t>
  </si>
  <si>
    <t>C0618723SL</t>
  </si>
  <si>
    <t>60 - 40</t>
  </si>
  <si>
    <t>004</t>
  </si>
  <si>
    <t xml:space="preserve">• Test to reproduce 2023 test results (use 2023 sleeve and lower temperature (step by step))
• Install mechanical seals per F00321662 / D0527190-2 revB   
 - Use the job seal sleeve used for testing back in 2023
     - Old part code: C0618730NL   =   current part code: C100028091   =    part drawing F000893469
 - Install thermocouple at IB and OB seal stationary face.
• Pressurize to indicated pressure, measure break-out torque. Repeat torque measurements after 10 minutes.
• Start Test Unit
• Increase the temperature to 60°C at LBI (as per recent tests) and let it run for 100 hrs (119 till Monday morning ;-) )
• Decrease the temperature to 40°C at LBI and let it run for 100 hrs
• Stop test unit and measure break-out torque. Repeat torque measurements after 10 minutes.
• Post-test work Job and plug seal, required on stationary and rotating seal faces.
   - Waviness measurement on 1 location
   - Taper measurement on 2 locations
   - Roughness measurement
   - Profile measurement
</t>
  </si>
  <si>
    <t>2026RSD03TL Run: 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</si>
</sst>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\-mmm\-yy;@"/>
    <numFmt numFmtId="165" formatCode="[$-413]d/mmm/yy;@"/>
    <numFmt numFmtId="166" formatCode="[$-409]d/mmm/yy;@"/>
    <numFmt numFmtId="167" formatCode="0.0000"/>
    <numFmt numFmtId="168" formatCode="0.000"/>
    <numFmt numFmtId="169" formatCode="0.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sz val="24"/>
      <color theme="1"/>
      <name val="Wingdings"/>
      <charset val="2"/>
    </font>
    <font>
      <sz val="24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0000"/>
      <name val="Tahoma"/>
      <family val="2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64" tint="-0.14996795556505021"/>
      </patternFill>
    </fill>
  </fills>
  <borders count="16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2" borderId="0" xfId="0" applyFill="1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 applyProtection="1">
      <alignment horizontal="right"/>
      <protection locked="0"/>
    </xf>
    <xf numFmtId="0" fontId="0" fillId="2" borderId="0" xfId="0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0" fillId="0" borderId="0" xfId="0" applyAlignment="1" applyProtection="1">
      <alignment horizontal="left"/>
      <protection locked="0"/>
    </xf>
    <xf numFmtId="0" fontId="2" fillId="4" borderId="0" xfId="0" applyFont="1" applyFill="1"/>
    <xf numFmtId="0" fontId="0" fillId="2" borderId="0" xfId="0" applyFill="1" applyAlignment="1">
      <alignment horizontal="right"/>
    </xf>
    <xf numFmtId="0" fontId="0" fillId="3" borderId="0" xfId="0" applyFill="1"/>
    <xf numFmtId="0" fontId="0" fillId="2" borderId="0" xfId="0" applyFill="1" applyAlignment="1">
      <alignment horizontal="right" vertical="top"/>
    </xf>
    <xf numFmtId="0" fontId="1" fillId="2" borderId="0" xfId="0" applyFont="1" applyFill="1"/>
    <xf numFmtId="0" fontId="6" fillId="2" borderId="0" xfId="0" applyFont="1" applyFill="1" applyAlignment="1">
      <alignment vertical="center"/>
    </xf>
    <xf numFmtId="0" fontId="6" fillId="2" borderId="0" xfId="0" applyFont="1" applyFill="1"/>
    <xf numFmtId="0" fontId="0" fillId="0" borderId="0" xfId="0" applyProtection="1">
      <protection locked="0"/>
    </xf>
    <xf numFmtId="0" fontId="0" fillId="0" borderId="0" xfId="0" applyAlignment="1">
      <alignment horizontal="left"/>
    </xf>
    <xf numFmtId="0" fontId="0" fillId="0" borderId="1" xfId="0" applyBorder="1" applyAlignment="1" applyProtection="1">
      <alignment horizontal="right"/>
      <protection locked="0"/>
    </xf>
    <xf numFmtId="0" fontId="0" fillId="2" borderId="0" xfId="0" applyFill="1" applyAlignment="1">
      <alignment horizontal="center"/>
    </xf>
    <xf numFmtId="0" fontId="0" fillId="6" borderId="1" xfId="0" applyFill="1" applyBorder="1" applyAlignment="1" applyProtection="1">
      <alignment horizontal="right"/>
      <protection locked="0"/>
    </xf>
    <xf numFmtId="165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textRotation="45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textRotation="45"/>
    </xf>
    <xf numFmtId="164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  <protection locked="0"/>
    </xf>
    <xf numFmtId="20" fontId="6" fillId="0" borderId="3" xfId="0" applyNumberFormat="1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right"/>
    </xf>
    <xf numFmtId="0" fontId="0" fillId="3" borderId="1" xfId="0" applyFill="1" applyBorder="1"/>
    <xf numFmtId="0" fontId="0" fillId="2" borderId="1" xfId="0" applyFill="1" applyBorder="1"/>
    <xf numFmtId="0" fontId="0" fillId="0" borderId="0" xfId="0" quotePrefix="1" applyAlignment="1" applyProtection="1">
      <alignment horizontal="right"/>
      <protection locked="0"/>
    </xf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6" fillId="0" borderId="0" xfId="0" applyFont="1"/>
    <xf numFmtId="166" fontId="0" fillId="0" borderId="0" xfId="0" applyNumberFormat="1"/>
    <xf numFmtId="167" fontId="6" fillId="0" borderId="0" xfId="0" applyNumberFormat="1" applyFont="1"/>
    <xf numFmtId="0" fontId="6" fillId="0" borderId="0" xfId="0" applyFont="1" applyAlignment="1">
      <alignment horizontal="right"/>
    </xf>
    <xf numFmtId="0" fontId="11" fillId="0" borderId="0" xfId="0" applyFont="1" applyAlignment="1">
      <alignment horizontal="center" vertical="center"/>
    </xf>
    <xf numFmtId="166" fontId="0" fillId="0" borderId="0" xfId="0" applyNumberFormat="1" applyProtection="1">
      <protection locked="0"/>
    </xf>
    <xf numFmtId="0" fontId="10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11" fillId="0" borderId="0" xfId="0" applyFont="1" applyAlignment="1">
      <alignment horizontal="left" vertical="top"/>
    </xf>
    <xf numFmtId="168" fontId="0" fillId="0" borderId="0" xfId="0" applyNumberFormat="1" applyAlignment="1" applyProtection="1">
      <alignment horizontal="right"/>
      <protection locked="0"/>
    </xf>
    <xf numFmtId="168" fontId="0" fillId="0" borderId="0" xfId="0" quotePrefix="1" applyNumberFormat="1" applyAlignment="1" applyProtection="1">
      <alignment horizontal="right"/>
      <protection locked="0"/>
    </xf>
    <xf numFmtId="169" fontId="0" fillId="0" borderId="0" xfId="0" applyNumberFormat="1" applyAlignment="1" applyProtection="1">
      <alignment horizontal="center"/>
      <protection locked="0"/>
    </xf>
    <xf numFmtId="2" fontId="6" fillId="0" borderId="3" xfId="0" applyNumberFormat="1" applyFont="1" applyBorder="1" applyAlignment="1">
      <alignment horizontal="center" vertical="center"/>
    </xf>
    <xf numFmtId="2" fontId="6" fillId="0" borderId="3" xfId="0" applyNumberFormat="1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vertical="top" wrapText="1"/>
    </xf>
    <xf numFmtId="169" fontId="6" fillId="0" borderId="0" xfId="0" applyNumberFormat="1" applyFont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5" borderId="13" xfId="0" applyFill="1" applyBorder="1" applyProtection="1">
      <protection locked="0"/>
    </xf>
    <xf numFmtId="0" fontId="0" fillId="5" borderId="14" xfId="0" applyFill="1" applyBorder="1" applyProtection="1">
      <protection locked="0"/>
    </xf>
    <xf numFmtId="0" fontId="0" fillId="5" borderId="15" xfId="0" applyFill="1" applyBorder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0" fontId="6" fillId="0" borderId="0" xfId="0" applyFont="1" applyAlignment="1" applyProtection="1">
      <alignment vertical="top" wrapText="1"/>
      <protection locked="0"/>
    </xf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6" fillId="0" borderId="0" xfId="0" applyFont="1" applyAlignment="1">
      <alignment vertical="top" wrapText="1"/>
    </xf>
    <xf numFmtId="0" fontId="6" fillId="0" borderId="0" xfId="0" applyFont="1" applyAlignment="1" applyProtection="1">
      <alignment horizontal="center"/>
      <protection locked="0"/>
    </xf>
    <xf numFmtId="0" fontId="12" fillId="0" borderId="0" xfId="0" applyFont="1" applyAlignment="1">
      <alignment vertical="top" wrapText="1"/>
    </xf>
    <xf numFmtId="0" fontId="10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3" fillId="4" borderId="0" xfId="0" applyFont="1" applyFill="1" applyAlignment="1">
      <alignment horizontal="center" vertical="center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8" xfId="0" applyBorder="1"/>
    <xf numFmtId="0" fontId="0" fillId="0" borderId="9" xfId="0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9" fillId="0" borderId="3" xfId="0" applyFont="1" applyBorder="1" applyAlignment="1">
      <alignment horizontal="center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" xfId="0" applyFill="1" applyBorder="1" applyAlignment="1" applyProtection="1">
      <alignment horizontal="left"/>
      <protection locked="0"/>
    </xf>
    <xf numFmtId="169" fontId="0" fillId="0" borderId="1" xfId="0" quotePrefix="1" applyNumberFormat="1" applyFill="1" applyBorder="1" applyAlignment="1" applyProtection="1">
      <alignment horizontal="right"/>
      <protection locked="0"/>
    </xf>
    <xf numFmtId="0" fontId="0" fillId="0" borderId="1" xfId="0" applyFill="1" applyBorder="1" applyAlignment="1" applyProtection="1">
      <alignment horizontal="right"/>
      <protection locked="0"/>
    </xf>
    <xf numFmtId="0" fontId="0" fillId="0" borderId="0" xfId="0" applyFill="1" applyAlignment="1" applyProtection="1">
      <alignment horizontal="right"/>
      <protection locked="0"/>
    </xf>
    <xf numFmtId="0" fontId="0" fillId="0" borderId="0" xfId="0" applyNumberFormat="1"/>
  </cellXfs>
  <cellStyles count="1">
    <cellStyle name="Normal" xfId="0" builtinId="0"/>
  </cellStyles>
  <dxfs count="24">
    <dxf>
      <numFmt numFmtId="165" formatCode="[$-413]d/mmm/yy;@"/>
    </dxf>
    <dxf>
      <numFmt numFmtId="165" formatCode="[$-413]d/mmm/yy;@"/>
    </dxf>
    <dxf>
      <numFmt numFmtId="165" formatCode="[$-413]d/mmm/yy;@"/>
    </dxf>
    <dxf>
      <numFmt numFmtId="165" formatCode="[$-413]d/mmm/yy;@"/>
    </dxf>
    <dxf>
      <numFmt numFmtId="165" formatCode="[$-413]d/mmm/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fmlaLink="DataBase!$DZ$2" fmlaRange="DataBase!$A$2:$CK$6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Radio" firstButton="1" fmlaLink="$FA$2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CheckBox" fmlaLink="$FC$2" lockText="1" noThreeD="1"/>
</file>

<file path=xl/ctrlProps/ctrlProp17.xml><?xml version="1.0" encoding="utf-8"?>
<formControlPr xmlns="http://schemas.microsoft.com/office/spreadsheetml/2009/9/main" objectType="CheckBox" fmlaLink="$FD$2" lockText="1" noThreeD="1"/>
</file>

<file path=xl/ctrlProps/ctrlProp18.xml><?xml version="1.0" encoding="utf-8"?>
<formControlPr xmlns="http://schemas.microsoft.com/office/spreadsheetml/2009/9/main" objectType="CheckBox" fmlaLink="$FE$2" lockText="1" noThreeD="1"/>
</file>

<file path=xl/ctrlProps/ctrlProp19.xml><?xml version="1.0" encoding="utf-8"?>
<formControlPr xmlns="http://schemas.microsoft.com/office/spreadsheetml/2009/9/main" objectType="CheckBox" checked="Checked" fmlaLink="$FF$2" lockText="1" noThreeD="1"/>
</file>

<file path=xl/ctrlProps/ctrlProp20.xml><?xml version="1.0" encoding="utf-8"?>
<formControlPr xmlns="http://schemas.microsoft.com/office/spreadsheetml/2009/9/main" objectType="CheckBox" checked="Checked" fmlaLink="$FG$2" lockText="1" noThreeD="1"/>
</file>

<file path=xl/ctrlProps/ctrlProp21.xml><?xml version="1.0" encoding="utf-8"?>
<formControlPr xmlns="http://schemas.microsoft.com/office/spreadsheetml/2009/9/main" objectType="CheckBox" checked="Checked" fmlaLink="$FH$2" lockText="1" noThreeD="1"/>
</file>

<file path=xl/ctrlProps/ctrlProp22.xml><?xml version="1.0" encoding="utf-8"?>
<formControlPr xmlns="http://schemas.microsoft.com/office/spreadsheetml/2009/9/main" objectType="CheckBox" checked="Checked" fmlaLink="$FI$2" lockText="1" noThreeD="1"/>
</file>

<file path=xl/ctrlProps/ctrlProp23.xml><?xml version="1.0" encoding="utf-8"?>
<formControlPr xmlns="http://schemas.microsoft.com/office/spreadsheetml/2009/9/main" objectType="CheckBox" checked="Checked" fmlaLink="$FJ$2" lockText="1" noThreeD="1"/>
</file>

<file path=xl/ctrlProps/ctrlProp24.xml><?xml version="1.0" encoding="utf-8"?>
<formControlPr xmlns="http://schemas.microsoft.com/office/spreadsheetml/2009/9/main" objectType="CheckBox" checked="Checked" fmlaLink="$FK$2" lockText="1" noThreeD="1"/>
</file>

<file path=xl/ctrlProps/ctrlProp25.xml><?xml version="1.0" encoding="utf-8"?>
<formControlPr xmlns="http://schemas.microsoft.com/office/spreadsheetml/2009/9/main" objectType="CheckBox" checked="Checked" fmlaLink="$FL$2" lockText="1" noThreeD="1"/>
</file>

<file path=xl/ctrlProps/ctrlProp26.xml><?xml version="1.0" encoding="utf-8"?>
<formControlPr xmlns="http://schemas.microsoft.com/office/spreadsheetml/2009/9/main" objectType="CheckBox" checked="Checked" fmlaLink="$FM$2" lockText="1" noThreeD="1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CheckBox" fmlaLink="$FB$2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8</xdr:row>
          <xdr:rowOff>57150</xdr:rowOff>
        </xdr:from>
        <xdr:to>
          <xdr:col>13</xdr:col>
          <xdr:colOff>590550</xdr:colOff>
          <xdr:row>9</xdr:row>
          <xdr:rowOff>152400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133350</xdr:colOff>
      <xdr:row>0</xdr:row>
      <xdr:rowOff>133350</xdr:rowOff>
    </xdr:from>
    <xdr:to>
      <xdr:col>2</xdr:col>
      <xdr:colOff>581025</xdr:colOff>
      <xdr:row>3</xdr:row>
      <xdr:rowOff>171450</xdr:rowOff>
    </xdr:to>
    <xdr:pic>
      <xdr:nvPicPr>
        <xdr:cNvPr id="4" name="Picture 1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33350"/>
          <a:ext cx="16668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7</xdr:row>
          <xdr:rowOff>19050</xdr:rowOff>
        </xdr:from>
        <xdr:to>
          <xdr:col>2</xdr:col>
          <xdr:colOff>523875</xdr:colOff>
          <xdr:row>7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8</xdr:row>
          <xdr:rowOff>19050</xdr:rowOff>
        </xdr:from>
        <xdr:to>
          <xdr:col>2</xdr:col>
          <xdr:colOff>523875</xdr:colOff>
          <xdr:row>8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9</xdr:row>
          <xdr:rowOff>19050</xdr:rowOff>
        </xdr:from>
        <xdr:to>
          <xdr:col>2</xdr:col>
          <xdr:colOff>523875</xdr:colOff>
          <xdr:row>9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11</xdr:row>
          <xdr:rowOff>9525</xdr:rowOff>
        </xdr:from>
        <xdr:to>
          <xdr:col>2</xdr:col>
          <xdr:colOff>523875</xdr:colOff>
          <xdr:row>11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14</xdr:row>
          <xdr:rowOff>9525</xdr:rowOff>
        </xdr:from>
        <xdr:to>
          <xdr:col>2</xdr:col>
          <xdr:colOff>523875</xdr:colOff>
          <xdr:row>14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12</xdr:row>
          <xdr:rowOff>9525</xdr:rowOff>
        </xdr:from>
        <xdr:to>
          <xdr:col>2</xdr:col>
          <xdr:colOff>523875</xdr:colOff>
          <xdr:row>12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12</xdr:row>
          <xdr:rowOff>57150</xdr:rowOff>
        </xdr:from>
        <xdr:to>
          <xdr:col>12</xdr:col>
          <xdr:colOff>571500</xdr:colOff>
          <xdr:row>13</xdr:row>
          <xdr:rowOff>123825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EXIT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2</xdr:row>
          <xdr:rowOff>66675</xdr:rowOff>
        </xdr:from>
        <xdr:to>
          <xdr:col>11</xdr:col>
          <xdr:colOff>190500</xdr:colOff>
          <xdr:row>3</xdr:row>
          <xdr:rowOff>161925</xdr:rowOff>
        </xdr:to>
        <xdr:sp macro="" textlink="">
          <xdr:nvSpPr>
            <xdr:cNvPr id="3084" name="Button 12" descr="New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2</xdr:row>
          <xdr:rowOff>66675</xdr:rowOff>
        </xdr:from>
        <xdr:to>
          <xdr:col>14</xdr:col>
          <xdr:colOff>257175</xdr:colOff>
          <xdr:row>3</xdr:row>
          <xdr:rowOff>161925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314325</xdr:colOff>
          <xdr:row>2</xdr:row>
          <xdr:rowOff>66675</xdr:rowOff>
        </xdr:from>
        <xdr:to>
          <xdr:col>15</xdr:col>
          <xdr:colOff>600075</xdr:colOff>
          <xdr:row>3</xdr:row>
          <xdr:rowOff>161925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200025</xdr:colOff>
      <xdr:row>0</xdr:row>
      <xdr:rowOff>95250</xdr:rowOff>
    </xdr:from>
    <xdr:to>
      <xdr:col>2</xdr:col>
      <xdr:colOff>556260</xdr:colOff>
      <xdr:row>3</xdr:row>
      <xdr:rowOff>175260</xdr:rowOff>
    </xdr:to>
    <xdr:pic>
      <xdr:nvPicPr>
        <xdr:cNvPr id="10" name="Picture 14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95250"/>
          <a:ext cx="166687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247650</xdr:colOff>
          <xdr:row>2</xdr:row>
          <xdr:rowOff>66675</xdr:rowOff>
        </xdr:from>
        <xdr:to>
          <xdr:col>12</xdr:col>
          <xdr:colOff>533400</xdr:colOff>
          <xdr:row>3</xdr:row>
          <xdr:rowOff>161925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19</xdr:row>
          <xdr:rowOff>171450</xdr:rowOff>
        </xdr:from>
        <xdr:to>
          <xdr:col>4</xdr:col>
          <xdr:colOff>600075</xdr:colOff>
          <xdr:row>21</xdr:row>
          <xdr:rowOff>9525</xdr:rowOff>
        </xdr:to>
        <xdr:sp macro="" textlink="">
          <xdr:nvSpPr>
            <xdr:cNvPr id="3088" name="Option 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Single Seal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21</xdr:row>
          <xdr:rowOff>76200</xdr:rowOff>
        </xdr:from>
        <xdr:to>
          <xdr:col>4</xdr:col>
          <xdr:colOff>600075</xdr:colOff>
          <xdr:row>22</xdr:row>
          <xdr:rowOff>104775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Dual Un-Pressurized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22</xdr:row>
          <xdr:rowOff>171450</xdr:rowOff>
        </xdr:from>
        <xdr:to>
          <xdr:col>4</xdr:col>
          <xdr:colOff>600075</xdr:colOff>
          <xdr:row>24</xdr:row>
          <xdr:rowOff>9525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Dual Pressurized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20</xdr:row>
          <xdr:rowOff>171450</xdr:rowOff>
        </xdr:from>
        <xdr:to>
          <xdr:col>6</xdr:col>
          <xdr:colOff>95250</xdr:colOff>
          <xdr:row>22</xdr:row>
          <xdr:rowOff>9525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21</xdr:row>
          <xdr:rowOff>171450</xdr:rowOff>
        </xdr:from>
        <xdr:to>
          <xdr:col>6</xdr:col>
          <xdr:colOff>95250</xdr:colOff>
          <xdr:row>23</xdr:row>
          <xdr:rowOff>9525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22</xdr:row>
          <xdr:rowOff>171450</xdr:rowOff>
        </xdr:from>
        <xdr:to>
          <xdr:col>6</xdr:col>
          <xdr:colOff>95250</xdr:colOff>
          <xdr:row>24</xdr:row>
          <xdr:rowOff>9525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400050</xdr:colOff>
          <xdr:row>19</xdr:row>
          <xdr:rowOff>171450</xdr:rowOff>
        </xdr:from>
        <xdr:to>
          <xdr:col>10</xdr:col>
          <xdr:colOff>95250</xdr:colOff>
          <xdr:row>21</xdr:row>
          <xdr:rowOff>9525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400050</xdr:colOff>
          <xdr:row>20</xdr:row>
          <xdr:rowOff>171450</xdr:rowOff>
        </xdr:from>
        <xdr:to>
          <xdr:col>10</xdr:col>
          <xdr:colOff>95250</xdr:colOff>
          <xdr:row>22</xdr:row>
          <xdr:rowOff>9525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400050</xdr:colOff>
          <xdr:row>21</xdr:row>
          <xdr:rowOff>171450</xdr:rowOff>
        </xdr:from>
        <xdr:to>
          <xdr:col>10</xdr:col>
          <xdr:colOff>95250</xdr:colOff>
          <xdr:row>23</xdr:row>
          <xdr:rowOff>9525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400050</xdr:colOff>
          <xdr:row>22</xdr:row>
          <xdr:rowOff>171450</xdr:rowOff>
        </xdr:from>
        <xdr:to>
          <xdr:col>10</xdr:col>
          <xdr:colOff>95250</xdr:colOff>
          <xdr:row>24</xdr:row>
          <xdr:rowOff>9525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400050</xdr:colOff>
          <xdr:row>19</xdr:row>
          <xdr:rowOff>171450</xdr:rowOff>
        </xdr:from>
        <xdr:to>
          <xdr:col>14</xdr:col>
          <xdr:colOff>95250</xdr:colOff>
          <xdr:row>21</xdr:row>
          <xdr:rowOff>9525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400050</xdr:colOff>
          <xdr:row>20</xdr:row>
          <xdr:rowOff>171450</xdr:rowOff>
        </xdr:from>
        <xdr:to>
          <xdr:col>14</xdr:col>
          <xdr:colOff>95250</xdr:colOff>
          <xdr:row>22</xdr:row>
          <xdr:rowOff>9525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400050</xdr:colOff>
          <xdr:row>21</xdr:row>
          <xdr:rowOff>171450</xdr:rowOff>
        </xdr:from>
        <xdr:to>
          <xdr:col>14</xdr:col>
          <xdr:colOff>95250</xdr:colOff>
          <xdr:row>23</xdr:row>
          <xdr:rowOff>9525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400050</xdr:colOff>
          <xdr:row>22</xdr:row>
          <xdr:rowOff>171450</xdr:rowOff>
        </xdr:from>
        <xdr:to>
          <xdr:col>14</xdr:col>
          <xdr:colOff>95250</xdr:colOff>
          <xdr:row>24</xdr:row>
          <xdr:rowOff>9525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19</xdr:row>
          <xdr:rowOff>28575</xdr:rowOff>
        </xdr:from>
        <xdr:to>
          <xdr:col>16</xdr:col>
          <xdr:colOff>19050</xdr:colOff>
          <xdr:row>24</xdr:row>
          <xdr:rowOff>57150</xdr:rowOff>
        </xdr:to>
        <xdr:sp macro="" textlink="">
          <xdr:nvSpPr>
            <xdr:cNvPr id="3105" name="Group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2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Select Data to be Shown on Data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19</xdr:row>
          <xdr:rowOff>28575</xdr:rowOff>
        </xdr:from>
        <xdr:to>
          <xdr:col>4</xdr:col>
          <xdr:colOff>571500</xdr:colOff>
          <xdr:row>24</xdr:row>
          <xdr:rowOff>57150</xdr:rowOff>
        </xdr:to>
        <xdr:sp macro="" textlink="">
          <xdr:nvSpPr>
            <xdr:cNvPr id="3106" name="Group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2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Select Arrangement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19</xdr:row>
          <xdr:rowOff>171450</xdr:rowOff>
        </xdr:from>
        <xdr:to>
          <xdr:col>6</xdr:col>
          <xdr:colOff>95250</xdr:colOff>
          <xdr:row>21</xdr:row>
          <xdr:rowOff>9525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2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95250</xdr:rowOff>
    </xdr:from>
    <xdr:to>
      <xdr:col>2</xdr:col>
      <xdr:colOff>542925</xdr:colOff>
      <xdr:row>3</xdr:row>
      <xdr:rowOff>161925</xdr:rowOff>
    </xdr:to>
    <xdr:pic>
      <xdr:nvPicPr>
        <xdr:cNvPr id="9" name="Picture 14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95250"/>
          <a:ext cx="166687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2</xdr:row>
          <xdr:rowOff>76200</xdr:rowOff>
        </xdr:from>
        <xdr:to>
          <xdr:col>15</xdr:col>
          <xdr:colOff>266700</xdr:colOff>
          <xdr:row>3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314325</xdr:colOff>
          <xdr:row>2</xdr:row>
          <xdr:rowOff>76200</xdr:rowOff>
        </xdr:from>
        <xdr:to>
          <xdr:col>16</xdr:col>
          <xdr:colOff>600075</xdr:colOff>
          <xdr:row>3</xdr:row>
          <xdr:rowOff>171450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18</xdr:row>
          <xdr:rowOff>152400</xdr:rowOff>
        </xdr:from>
        <xdr:to>
          <xdr:col>10</xdr:col>
          <xdr:colOff>38100</xdr:colOff>
          <xdr:row>26</xdr:row>
          <xdr:rowOff>66675</xdr:rowOff>
        </xdr:to>
        <xdr:sp macro="" textlink="">
          <xdr:nvSpPr>
            <xdr:cNvPr id="5130" name="Group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3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Pre-Test Work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18</xdr:row>
          <xdr:rowOff>152400</xdr:rowOff>
        </xdr:from>
        <xdr:to>
          <xdr:col>17</xdr:col>
          <xdr:colOff>38100</xdr:colOff>
          <xdr:row>26</xdr:row>
          <xdr:rowOff>66675</xdr:rowOff>
        </xdr:to>
        <xdr:sp macro="" textlink="">
          <xdr:nvSpPr>
            <xdr:cNvPr id="5131" name="Group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3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Post-Test Work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27</xdr:row>
          <xdr:rowOff>9525</xdr:rowOff>
        </xdr:from>
        <xdr:to>
          <xdr:col>16</xdr:col>
          <xdr:colOff>409575</xdr:colOff>
          <xdr:row>28</xdr:row>
          <xdr:rowOff>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3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28</xdr:row>
          <xdr:rowOff>9525</xdr:rowOff>
        </xdr:from>
        <xdr:to>
          <xdr:col>16</xdr:col>
          <xdr:colOff>409575</xdr:colOff>
          <xdr:row>29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3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29</xdr:row>
          <xdr:rowOff>9525</xdr:rowOff>
        </xdr:from>
        <xdr:to>
          <xdr:col>16</xdr:col>
          <xdr:colOff>409575</xdr:colOff>
          <xdr:row>30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3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30</xdr:row>
          <xdr:rowOff>9525</xdr:rowOff>
        </xdr:from>
        <xdr:to>
          <xdr:col>16</xdr:col>
          <xdr:colOff>409575</xdr:colOff>
          <xdr:row>31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3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3" displayName="Tabel3" ref="A1:CK6" totalsRowShown="0">
  <autoFilter ref="A1:CK6" xr:uid="{00000000-0009-0000-0100-000001000000}"/>
  <tableColumns count="89">
    <tableColumn id="1" xr3:uid="{00000000-0010-0000-0000-000001000000}" name="ProjRunNo" dataDxfId="23">
      <calculatedColumnFormula>Tabel3[[#This Row],[ProjNo]]&amp;" Run: "&amp;Tabel3[[#This Row],[RunNo]]</calculatedColumnFormula>
    </tableColumn>
    <tableColumn id="2" xr3:uid="{00000000-0010-0000-0000-000002000000}" name="ProjNo"/>
    <tableColumn id="3" xr3:uid="{00000000-0010-0000-0000-000003000000}" name="RunNo" dataDxfId="22"/>
    <tableColumn id="4" xr3:uid="{00000000-0010-0000-0000-000004000000}" name="ProjName"/>
    <tableColumn id="5" xr3:uid="{00000000-0010-0000-0000-000005000000}" name="TestRunDescription"/>
    <tableColumn id="6" xr3:uid="{00000000-0010-0000-0000-000006000000}" name="TestUnit"/>
    <tableColumn id="7" xr3:uid="{00000000-0010-0000-0000-000007000000}" name="Speed"/>
    <tableColumn id="8" xr3:uid="{00000000-0010-0000-0000-000008000000}" name="By"/>
    <tableColumn id="9" xr3:uid="{00000000-0010-0000-0000-000009000000}" name="RefDwg"/>
    <tableColumn id="10" xr3:uid="{00000000-0010-0000-0000-00000A000000}" name="Duration"/>
    <tableColumn id="11" xr3:uid="{00000000-0010-0000-0000-00000B000000}" name="IBSealType"/>
    <tableColumn id="12" xr3:uid="{00000000-0010-0000-0000-00000C000000}" name="IBStatFace"/>
    <tableColumn id="13" xr3:uid="{00000000-0010-0000-0000-00000D000000}" name="IBRotFace"/>
    <tableColumn id="14" xr3:uid="{00000000-0010-0000-0000-00000E000000}" name="IBSpring"/>
    <tableColumn id="15" xr3:uid="{00000000-0010-0000-0000-00000F000000}" name="Product"/>
    <tableColumn id="16" xr3:uid="{00000000-0010-0000-0000-000010000000}" name="ProdPress"/>
    <tableColumn id="17" xr3:uid="{00000000-0010-0000-0000-000011000000}" name="ProdTemp"/>
    <tableColumn id="18" xr3:uid="{00000000-0010-0000-0000-000012000000}" name="ProdFlow"/>
    <tableColumn id="19" xr3:uid="{00000000-0010-0000-0000-000013000000}" name="OBSealType"/>
    <tableColumn id="20" xr3:uid="{00000000-0010-0000-0000-000014000000}" name="OBStatFace"/>
    <tableColumn id="21" xr3:uid="{00000000-0010-0000-0000-000015000000}" name="OBRotFace"/>
    <tableColumn id="22" xr3:uid="{00000000-0010-0000-0000-000016000000}" name="OBSpring"/>
    <tableColumn id="23" xr3:uid="{00000000-0010-0000-0000-000017000000}" name="Bar/Buf"/>
    <tableColumn id="24" xr3:uid="{00000000-0010-0000-0000-000018000000}" name="Bar/BufPress"/>
    <tableColumn id="25" xr3:uid="{00000000-0010-0000-0000-000019000000}" name="Bar/BufTemp"/>
    <tableColumn id="26" xr3:uid="{00000000-0010-0000-0000-00001A000000}" name="Bar/BufFlow"/>
    <tableColumn id="28" xr3:uid="{00000000-0010-0000-0000-00001C000000}" name="Arrangement"/>
    <tableColumn id="30" xr3:uid="{00000000-0010-0000-0000-00001E000000}" name="ProdPressY/N"/>
    <tableColumn id="31" xr3:uid="{00000000-0010-0000-0000-00001F000000}" name="PInletTempY/N"/>
    <tableColumn id="29" xr3:uid="{00000000-0010-0000-0000-00001D000000}" name="POutletTempY/N"/>
    <tableColumn id="32" xr3:uid="{00000000-0010-0000-0000-000020000000}" name="ProdFlowY/N"/>
    <tableColumn id="33" xr3:uid="{00000000-0010-0000-0000-000021000000}" name="BPressY/N"/>
    <tableColumn id="34" xr3:uid="{00000000-0010-0000-0000-000022000000}" name="BInletTempY/N"/>
    <tableColumn id="35" xr3:uid="{00000000-0010-0000-0000-000023000000}" name="BOutletTempY/N"/>
    <tableColumn id="36" xr3:uid="{00000000-0010-0000-0000-000024000000}" name="BFlowY/N"/>
    <tableColumn id="37" xr3:uid="{00000000-0010-0000-0000-000025000000}" name="IBFaceTempY/N"/>
    <tableColumn id="38" xr3:uid="{00000000-0010-0000-0000-000026000000}" name="IBLeakY/N"/>
    <tableColumn id="40" xr3:uid="{00000000-0010-0000-0000-000028000000}" name="OBFaceTempY/N"/>
    <tableColumn id="41" xr3:uid="{00000000-0010-0000-0000-000029000000}" name="OBLeakY/N"/>
    <tableColumn id="42" xr3:uid="{00000000-0010-0000-0000-00002A000000}" name="TestResultsSummary"/>
    <tableColumn id="43" xr3:uid="{00000000-0010-0000-0000-00002B000000}" name="IBStatFaceCond"/>
    <tableColumn id="44" xr3:uid="{00000000-0010-0000-0000-00002C000000}" name="IBRotFaceCond"/>
    <tableColumn id="45" xr3:uid="{00000000-0010-0000-0000-00002D000000}" name="OBStatFaceCond"/>
    <tableColumn id="46" xr3:uid="{00000000-0010-0000-0000-00002E000000}" name="OBRotFaceCond"/>
    <tableColumn id="47" xr3:uid="{00000000-0010-0000-0000-00002F000000}" name="ProdPress2"/>
    <tableColumn id="48" xr3:uid="{00000000-0010-0000-0000-000030000000}" name="ProdInLetTemp"/>
    <tableColumn id="49" xr3:uid="{00000000-0010-0000-0000-000031000000}" name="ProdOutletTemp"/>
    <tableColumn id="50" xr3:uid="{00000000-0010-0000-0000-000032000000}" name="ProdFlow3"/>
    <tableColumn id="51" xr3:uid="{00000000-0010-0000-0000-000033000000}" name="BarPress"/>
    <tableColumn id="52" xr3:uid="{00000000-0010-0000-0000-000034000000}" name="BarInletTemp"/>
    <tableColumn id="53" xr3:uid="{00000000-0010-0000-0000-000035000000}" name="BarOutletTemp"/>
    <tableColumn id="54" xr3:uid="{00000000-0010-0000-0000-000036000000}" name="BarFlow"/>
    <tableColumn id="55" xr3:uid="{00000000-0010-0000-0000-000037000000}" name="IBSealLeak"/>
    <tableColumn id="56" xr3:uid="{00000000-0010-0000-0000-000038000000}" name="IBFaceTemp"/>
    <tableColumn id="57" xr3:uid="{00000000-0010-0000-0000-000039000000}" name="IBWearRate"/>
    <tableColumn id="58" xr3:uid="{00000000-0010-0000-0000-00003A000000}" name="IBStatWavyPre"/>
    <tableColumn id="59" xr3:uid="{00000000-0010-0000-0000-00003B000000}" name="IBStatTaperPre"/>
    <tableColumn id="60" xr3:uid="{00000000-0010-0000-0000-00003C000000}" name="IBStatRaPre"/>
    <tableColumn id="61" xr3:uid="{00000000-0010-0000-0000-00003D000000}" name="IBRotWavyPre"/>
    <tableColumn id="62" xr3:uid="{00000000-0010-0000-0000-00003E000000}" name="IBRotTaperPre"/>
    <tableColumn id="63" xr3:uid="{00000000-0010-0000-0000-00003F000000}" name="IBRotRaPre"/>
    <tableColumn id="64" xr3:uid="{00000000-0010-0000-0000-000040000000}" name="OBSealLeak"/>
    <tableColumn id="65" xr3:uid="{00000000-0010-0000-0000-000041000000}" name="OBFaceTemp"/>
    <tableColumn id="66" xr3:uid="{00000000-0010-0000-0000-000042000000}" name="OBWearRate"/>
    <tableColumn id="67" xr3:uid="{00000000-0010-0000-0000-000043000000}" name="OBStatWavyPre" dataDxfId="21"/>
    <tableColumn id="80" xr3:uid="{00000000-0010-0000-0000-000050000000}" name="OBStatTaperPre" dataDxfId="20"/>
    <tableColumn id="81" xr3:uid="{00000000-0010-0000-0000-000051000000}" name="OBStatRaPre" dataDxfId="19"/>
    <tableColumn id="82" xr3:uid="{00000000-0010-0000-0000-000052000000}" name="OBRotWavyPre" dataDxfId="18"/>
    <tableColumn id="83" xr3:uid="{00000000-0010-0000-0000-000053000000}" name="OBRotTaperPre" dataDxfId="17"/>
    <tableColumn id="84" xr3:uid="{00000000-0010-0000-0000-000054000000}" name="OBRotRaPre" dataDxfId="16"/>
    <tableColumn id="85" xr3:uid="{00000000-0010-0000-0000-000055000000}" name="IBStatWavyPost" dataDxfId="15"/>
    <tableColumn id="86" xr3:uid="{00000000-0010-0000-0000-000056000000}" name="IBStatTaperPost"/>
    <tableColumn id="87" xr3:uid="{00000000-0010-0000-0000-000057000000}" name="IBStatRaPost"/>
    <tableColumn id="27" xr3:uid="{00000000-0010-0000-0000-00001B000000}" name="IBRotWavyPost"/>
    <tableColumn id="73" xr3:uid="{00000000-0010-0000-0000-000049000000}" name="IBRotTaperPost" dataDxfId="14"/>
    <tableColumn id="74" xr3:uid="{00000000-0010-0000-0000-00004A000000}" name="IBRotRaPost" dataDxfId="13"/>
    <tableColumn id="75" xr3:uid="{00000000-0010-0000-0000-00004B000000}" name="OBStatWavyPost" dataDxfId="12"/>
    <tableColumn id="76" xr3:uid="{00000000-0010-0000-0000-00004C000000}" name="OBStatTaperPost" dataDxfId="11"/>
    <tableColumn id="88" xr3:uid="{00000000-0010-0000-0000-000058000000}" name="OBStatRaPost" dataDxfId="10"/>
    <tableColumn id="39" xr3:uid="{00000000-0010-0000-0000-000027000000}" name="OBRotWavyPost" dataDxfId="9"/>
    <tableColumn id="68" xr3:uid="{00000000-0010-0000-0000-000044000000}" name="OBRotTaperPost" dataDxfId="8"/>
    <tableColumn id="69" xr3:uid="{00000000-0010-0000-0000-000045000000}" name="OBRotRaPost" dataDxfId="7"/>
    <tableColumn id="70" xr3:uid="{00000000-0010-0000-0000-000046000000}" name="SumBy" dataDxfId="6"/>
    <tableColumn id="71" xr3:uid="{00000000-0010-0000-0000-000047000000}" name="TestDuration" dataDxfId="5"/>
    <tableColumn id="72" xr3:uid="{00000000-0010-0000-0000-000048000000}" name="IBSTPict" dataDxfId="4"/>
    <tableColumn id="77" xr3:uid="{00000000-0010-0000-0000-00004D000000}" name="IBRTPict" dataDxfId="3"/>
    <tableColumn id="78" xr3:uid="{00000000-0010-0000-0000-00004E000000}" name="OBSTPict" dataDxfId="2"/>
    <tableColumn id="79" xr3:uid="{00000000-0010-0000-0000-00004F000000}" name="OBRTPict" dataDxfId="1"/>
    <tableColumn id="89" xr3:uid="{00000000-0010-0000-0000-000059000000}" name="TCNCreate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6.x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1.xml"/><Relationship Id="rId20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ctrlProp" Target="../ctrlProps/ctrlProp31.xml"/><Relationship Id="rId10" Type="http://schemas.openxmlformats.org/officeDocument/2006/relationships/ctrlProp" Target="../ctrlProps/ctrlProp36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/>
  <dimension ref="D3:M17"/>
  <sheetViews>
    <sheetView tabSelected="1" zoomScaleNormal="100" workbookViewId="0">
      <selection activeCell="S25" sqref="S25"/>
    </sheetView>
  </sheetViews>
  <sheetFormatPr defaultColWidth="9.140625" defaultRowHeight="15" x14ac:dyDescent="0.25"/>
  <cols>
    <col min="1" max="10" width="9.140625" style="1" customWidth="1"/>
    <col min="11" max="16384" width="9.140625" style="1"/>
  </cols>
  <sheetData>
    <row r="3" spans="4:13" x14ac:dyDescent="0.25">
      <c r="M3" s="45" t="s">
        <v>277</v>
      </c>
    </row>
    <row r="8" spans="4:13" s="6" customFormat="1" ht="15" customHeight="1" x14ac:dyDescent="0.25">
      <c r="D8" s="6" t="s">
        <v>36</v>
      </c>
      <c r="M8" s="46" t="s">
        <v>40</v>
      </c>
    </row>
    <row r="9" spans="4:13" s="6" customFormat="1" ht="15" customHeight="1" x14ac:dyDescent="0.25">
      <c r="D9" s="6" t="s">
        <v>41</v>
      </c>
      <c r="I9" s="7"/>
    </row>
    <row r="10" spans="4:13" s="6" customFormat="1" ht="15" customHeight="1" x14ac:dyDescent="0.25">
      <c r="D10" s="6" t="s">
        <v>37</v>
      </c>
      <c r="I10" s="8"/>
    </row>
    <row r="11" spans="4:13" s="6" customFormat="1" ht="15" customHeight="1" x14ac:dyDescent="0.25"/>
    <row r="12" spans="4:13" s="6" customFormat="1" ht="15" customHeight="1" x14ac:dyDescent="0.25">
      <c r="D12" s="6" t="s">
        <v>39</v>
      </c>
    </row>
    <row r="13" spans="4:13" s="6" customFormat="1" ht="15" customHeight="1" x14ac:dyDescent="0.25">
      <c r="D13" s="6" t="s">
        <v>38</v>
      </c>
    </row>
    <row r="14" spans="4:13" s="6" customFormat="1" ht="15" customHeight="1" x14ac:dyDescent="0.25"/>
    <row r="15" spans="4:13" s="6" customFormat="1" ht="15" customHeight="1" x14ac:dyDescent="0.25">
      <c r="D15" s="6" t="s">
        <v>275</v>
      </c>
    </row>
    <row r="16" spans="4:13" s="6" customFormat="1" ht="15" customHeight="1" x14ac:dyDescent="0.25"/>
    <row r="17" s="6" customFormat="1" ht="15" customHeight="1" x14ac:dyDescent="0.25"/>
  </sheetData>
  <sheetProtection select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Vervolgkeuzelijst1_BijWijzigen">
                <anchor moveWithCells="1">
                  <from>
                    <xdr:col>11</xdr:col>
                    <xdr:colOff>9525</xdr:colOff>
                    <xdr:row>8</xdr:row>
                    <xdr:rowOff>57150</xdr:rowOff>
                  </from>
                  <to>
                    <xdr:col>13</xdr:col>
                    <xdr:colOff>590550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Knop2_Klikken">
                <anchor moveWithCells="1" sizeWithCells="1">
                  <from>
                    <xdr:col>2</xdr:col>
                    <xdr:colOff>381000</xdr:colOff>
                    <xdr:row>7</xdr:row>
                    <xdr:rowOff>19050</xdr:rowOff>
                  </from>
                  <to>
                    <xdr:col>2</xdr:col>
                    <xdr:colOff>523875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Knop3_Klikken">
                <anchor moveWithCells="1" sizeWithCells="1">
                  <from>
                    <xdr:col>2</xdr:col>
                    <xdr:colOff>381000</xdr:colOff>
                    <xdr:row>8</xdr:row>
                    <xdr:rowOff>19050</xdr:rowOff>
                  </from>
                  <to>
                    <xdr:col>2</xdr:col>
                    <xdr:colOff>523875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Knop4_Klikken">
                <anchor moveWithCells="1" sizeWithCells="1">
                  <from>
                    <xdr:col>2</xdr:col>
                    <xdr:colOff>381000</xdr:colOff>
                    <xdr:row>9</xdr:row>
                    <xdr:rowOff>19050</xdr:rowOff>
                  </from>
                  <to>
                    <xdr:col>2</xdr:col>
                    <xdr:colOff>523875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Knop5_Klikken">
                <anchor moveWithCells="1" sizeWithCells="1">
                  <from>
                    <xdr:col>2</xdr:col>
                    <xdr:colOff>381000</xdr:colOff>
                    <xdr:row>11</xdr:row>
                    <xdr:rowOff>9525</xdr:rowOff>
                  </from>
                  <to>
                    <xdr:col>2</xdr:col>
                    <xdr:colOff>523875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Knop6_Klikken">
                <anchor moveWithCells="1" sizeWithCells="1">
                  <from>
                    <xdr:col>2</xdr:col>
                    <xdr:colOff>381000</xdr:colOff>
                    <xdr:row>14</xdr:row>
                    <xdr:rowOff>9525</xdr:rowOff>
                  </from>
                  <to>
                    <xdr:col>2</xdr:col>
                    <xdr:colOff>523875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Knop7_Klikken">
                <anchor moveWithCells="1" sizeWithCells="1">
                  <from>
                    <xdr:col>2</xdr:col>
                    <xdr:colOff>381000</xdr:colOff>
                    <xdr:row>12</xdr:row>
                    <xdr:rowOff>9525</xdr:rowOff>
                  </from>
                  <to>
                    <xdr:col>2</xdr:col>
                    <xdr:colOff>523875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Knop8_Klikken">
                <anchor moveWithCells="1" sizeWithCells="1">
                  <from>
                    <xdr:col>12</xdr:col>
                    <xdr:colOff>28575</xdr:colOff>
                    <xdr:row>12</xdr:row>
                    <xdr:rowOff>57150</xdr:rowOff>
                  </from>
                  <to>
                    <xdr:col>12</xdr:col>
                    <xdr:colOff>571500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HK6"/>
  <sheetViews>
    <sheetView zoomScaleNormal="100" workbookViewId="0">
      <selection activeCell="B2" sqref="B2:AM2"/>
    </sheetView>
  </sheetViews>
  <sheetFormatPr defaultRowHeight="15" x14ac:dyDescent="0.25"/>
  <cols>
    <col min="12" max="12" width="26.7109375" bestFit="1" customWidth="1"/>
    <col min="13" max="13" width="18.42578125" bestFit="1" customWidth="1"/>
    <col min="19" max="19" width="13.85546875" bestFit="1" customWidth="1"/>
    <col min="20" max="20" width="26.7109375" bestFit="1" customWidth="1"/>
    <col min="21" max="21" width="30" bestFit="1" customWidth="1"/>
    <col min="24" max="24" width="14.7109375" bestFit="1" customWidth="1"/>
    <col min="25" max="25" width="15" bestFit="1" customWidth="1"/>
    <col min="79" max="79" width="9.85546875" bestFit="1" customWidth="1"/>
    <col min="89" max="89" width="12.7109375" bestFit="1" customWidth="1"/>
    <col min="157" max="157" width="9.42578125" bestFit="1" customWidth="1"/>
    <col min="209" max="209" width="9.85546875" bestFit="1" customWidth="1"/>
    <col min="219" max="219" width="9.85546875" bestFit="1" customWidth="1"/>
  </cols>
  <sheetData>
    <row r="1" spans="1:219" x14ac:dyDescent="0.25">
      <c r="A1" t="s">
        <v>42</v>
      </c>
      <c r="B1" t="s">
        <v>43</v>
      </c>
      <c r="C1" t="s">
        <v>44</v>
      </c>
      <c r="D1" t="s">
        <v>45</v>
      </c>
      <c r="E1" t="s">
        <v>35</v>
      </c>
      <c r="F1" t="s">
        <v>2</v>
      </c>
      <c r="G1" t="s">
        <v>1</v>
      </c>
      <c r="H1" t="s">
        <v>46</v>
      </c>
      <c r="I1" t="s">
        <v>47</v>
      </c>
      <c r="J1" t="s">
        <v>16</v>
      </c>
      <c r="K1" t="s">
        <v>48</v>
      </c>
      <c r="L1" t="s">
        <v>11</v>
      </c>
      <c r="M1" t="s">
        <v>10</v>
      </c>
      <c r="N1" t="s">
        <v>12</v>
      </c>
      <c r="O1" t="s">
        <v>0</v>
      </c>
      <c r="P1" t="s">
        <v>22</v>
      </c>
      <c r="Q1" t="s">
        <v>49</v>
      </c>
      <c r="R1" t="s">
        <v>25</v>
      </c>
      <c r="S1" t="s">
        <v>50</v>
      </c>
      <c r="T1" t="s">
        <v>14</v>
      </c>
      <c r="U1" t="s">
        <v>13</v>
      </c>
      <c r="V1" t="s">
        <v>15</v>
      </c>
      <c r="W1" t="s">
        <v>51</v>
      </c>
      <c r="X1" t="s">
        <v>52</v>
      </c>
      <c r="Y1" t="s">
        <v>53</v>
      </c>
      <c r="Z1" t="s">
        <v>54</v>
      </c>
      <c r="AA1" t="s">
        <v>55</v>
      </c>
      <c r="AB1" t="s">
        <v>56</v>
      </c>
      <c r="AC1" t="s">
        <v>57</v>
      </c>
      <c r="AD1" t="s">
        <v>58</v>
      </c>
      <c r="AE1" t="s">
        <v>59</v>
      </c>
      <c r="AF1" t="s">
        <v>60</v>
      </c>
      <c r="AG1" t="s">
        <v>61</v>
      </c>
      <c r="AH1" t="s">
        <v>62</v>
      </c>
      <c r="AI1" t="s">
        <v>63</v>
      </c>
      <c r="AJ1" t="s">
        <v>64</v>
      </c>
      <c r="AK1" t="s">
        <v>65</v>
      </c>
      <c r="AL1" t="s">
        <v>66</v>
      </c>
      <c r="AM1" t="s">
        <v>67</v>
      </c>
      <c r="AN1" t="s">
        <v>21</v>
      </c>
      <c r="AO1" t="s">
        <v>222</v>
      </c>
      <c r="AP1" t="s">
        <v>223</v>
      </c>
      <c r="AQ1" t="s">
        <v>224</v>
      </c>
      <c r="AR1" t="s">
        <v>225</v>
      </c>
      <c r="AS1" t="s">
        <v>68</v>
      </c>
      <c r="AT1" t="s">
        <v>23</v>
      </c>
      <c r="AU1" t="s">
        <v>24</v>
      </c>
      <c r="AV1" t="s">
        <v>69</v>
      </c>
      <c r="AW1" t="s">
        <v>26</v>
      </c>
      <c r="AX1" t="s">
        <v>27</v>
      </c>
      <c r="AY1" t="s">
        <v>28</v>
      </c>
      <c r="AZ1" t="s">
        <v>29</v>
      </c>
      <c r="BA1" t="s">
        <v>30</v>
      </c>
      <c r="BB1" t="s">
        <v>32</v>
      </c>
      <c r="BC1" t="s">
        <v>70</v>
      </c>
      <c r="BD1" t="s">
        <v>79</v>
      </c>
      <c r="BE1" t="s">
        <v>78</v>
      </c>
      <c r="BF1" t="s">
        <v>227</v>
      </c>
      <c r="BG1" t="s">
        <v>80</v>
      </c>
      <c r="BH1" t="s">
        <v>77</v>
      </c>
      <c r="BI1" t="s">
        <v>228</v>
      </c>
      <c r="BJ1" t="s">
        <v>31</v>
      </c>
      <c r="BK1" t="s">
        <v>33</v>
      </c>
      <c r="BL1" t="s">
        <v>71</v>
      </c>
      <c r="BM1" t="s">
        <v>92</v>
      </c>
      <c r="BN1" t="s">
        <v>90</v>
      </c>
      <c r="BO1" t="s">
        <v>226</v>
      </c>
      <c r="BP1" t="s">
        <v>93</v>
      </c>
      <c r="BQ1" t="s">
        <v>91</v>
      </c>
      <c r="BR1" t="s">
        <v>229</v>
      </c>
      <c r="BS1" t="s">
        <v>84</v>
      </c>
      <c r="BT1" t="s">
        <v>82</v>
      </c>
      <c r="BU1" t="s">
        <v>230</v>
      </c>
      <c r="BV1" t="s">
        <v>85</v>
      </c>
      <c r="BW1" t="s">
        <v>83</v>
      </c>
      <c r="BX1" t="s">
        <v>231</v>
      </c>
      <c r="BY1" t="s">
        <v>88</v>
      </c>
      <c r="BZ1" t="s">
        <v>86</v>
      </c>
      <c r="CA1" t="s">
        <v>232</v>
      </c>
      <c r="CB1" t="s">
        <v>89</v>
      </c>
      <c r="CC1" t="s">
        <v>87</v>
      </c>
      <c r="CD1" t="s">
        <v>233</v>
      </c>
      <c r="CE1" t="s">
        <v>76</v>
      </c>
      <c r="CF1" t="s">
        <v>189</v>
      </c>
      <c r="CG1" t="s">
        <v>191</v>
      </c>
      <c r="CH1" t="s">
        <v>192</v>
      </c>
      <c r="CI1" t="s">
        <v>193</v>
      </c>
      <c r="CJ1" t="s">
        <v>194</v>
      </c>
      <c r="CK1" t="s">
        <v>81</v>
      </c>
      <c r="EA1" s="10" t="s">
        <v>42</v>
      </c>
      <c r="EB1" s="10" t="s">
        <v>43</v>
      </c>
      <c r="EC1" s="10" t="s">
        <v>44</v>
      </c>
      <c r="ED1" s="10" t="s">
        <v>45</v>
      </c>
      <c r="EE1" s="10" t="s">
        <v>35</v>
      </c>
      <c r="EF1" s="10" t="s">
        <v>2</v>
      </c>
      <c r="EG1" s="10" t="s">
        <v>1</v>
      </c>
      <c r="EH1" s="10" t="s">
        <v>46</v>
      </c>
      <c r="EI1" s="10" t="s">
        <v>47</v>
      </c>
      <c r="EJ1" s="10" t="s">
        <v>16</v>
      </c>
      <c r="EK1" s="10" t="s">
        <v>48</v>
      </c>
      <c r="EL1" s="10" t="s">
        <v>11</v>
      </c>
      <c r="EM1" s="10" t="s">
        <v>10</v>
      </c>
      <c r="EN1" s="10" t="s">
        <v>12</v>
      </c>
      <c r="EO1" s="10" t="s">
        <v>0</v>
      </c>
      <c r="EP1" s="10" t="s">
        <v>22</v>
      </c>
      <c r="EQ1" s="10" t="s">
        <v>49</v>
      </c>
      <c r="ER1" s="10" t="s">
        <v>25</v>
      </c>
      <c r="ES1" s="10" t="s">
        <v>50</v>
      </c>
      <c r="ET1" s="10" t="s">
        <v>14</v>
      </c>
      <c r="EU1" s="10" t="s">
        <v>13</v>
      </c>
      <c r="EV1" s="10" t="s">
        <v>15</v>
      </c>
      <c r="EW1" s="10" t="s">
        <v>51</v>
      </c>
      <c r="EX1" s="10" t="s">
        <v>52</v>
      </c>
      <c r="EY1" s="10" t="s">
        <v>53</v>
      </c>
      <c r="EZ1" s="10" t="s">
        <v>54</v>
      </c>
      <c r="FA1" s="10" t="s">
        <v>55</v>
      </c>
      <c r="FB1" s="10" t="s">
        <v>56</v>
      </c>
      <c r="FC1" s="10" t="s">
        <v>57</v>
      </c>
      <c r="FD1" s="10" t="s">
        <v>58</v>
      </c>
      <c r="FE1" s="10" t="s">
        <v>59</v>
      </c>
      <c r="FF1" s="10" t="s">
        <v>60</v>
      </c>
      <c r="FG1" s="10" t="s">
        <v>61</v>
      </c>
      <c r="FH1" s="10" t="s">
        <v>62</v>
      </c>
      <c r="FI1" s="10" t="s">
        <v>63</v>
      </c>
      <c r="FJ1" s="10" t="s">
        <v>64</v>
      </c>
      <c r="FK1" s="10" t="s">
        <v>65</v>
      </c>
      <c r="FL1" s="10" t="s">
        <v>66</v>
      </c>
      <c r="FM1" s="10" t="s">
        <v>67</v>
      </c>
      <c r="FN1" s="10" t="s">
        <v>21</v>
      </c>
      <c r="FO1" s="10" t="s">
        <v>222</v>
      </c>
      <c r="FP1" s="10" t="s">
        <v>223</v>
      </c>
      <c r="FQ1" s="10" t="s">
        <v>224</v>
      </c>
      <c r="FR1" s="10" t="s">
        <v>225</v>
      </c>
      <c r="FS1" s="10" t="s">
        <v>68</v>
      </c>
      <c r="FT1" s="10" t="s">
        <v>23</v>
      </c>
      <c r="FU1" s="10" t="s">
        <v>24</v>
      </c>
      <c r="FV1" s="10" t="s">
        <v>69</v>
      </c>
      <c r="FW1" s="10" t="s">
        <v>26</v>
      </c>
      <c r="FX1" s="10" t="s">
        <v>27</v>
      </c>
      <c r="FY1" s="10" t="s">
        <v>28</v>
      </c>
      <c r="FZ1" s="10" t="s">
        <v>29</v>
      </c>
      <c r="GA1" s="10" t="s">
        <v>30</v>
      </c>
      <c r="GB1" s="10" t="s">
        <v>32</v>
      </c>
      <c r="GC1" s="10" t="s">
        <v>70</v>
      </c>
      <c r="GD1" s="10" t="s">
        <v>79</v>
      </c>
      <c r="GE1" s="10" t="s">
        <v>78</v>
      </c>
      <c r="GF1" s="10" t="s">
        <v>227</v>
      </c>
      <c r="GG1" s="10" t="s">
        <v>80</v>
      </c>
      <c r="GH1" s="10" t="s">
        <v>77</v>
      </c>
      <c r="GI1" s="10" t="s">
        <v>228</v>
      </c>
      <c r="GJ1" s="10" t="s">
        <v>31</v>
      </c>
      <c r="GK1" s="10" t="s">
        <v>33</v>
      </c>
      <c r="GL1" s="10" t="s">
        <v>71</v>
      </c>
      <c r="GM1" s="10" t="s">
        <v>92</v>
      </c>
      <c r="GN1" s="10" t="s">
        <v>90</v>
      </c>
      <c r="GO1" s="10" t="s">
        <v>226</v>
      </c>
      <c r="GP1" s="10" t="s">
        <v>93</v>
      </c>
      <c r="GQ1" s="10" t="s">
        <v>91</v>
      </c>
      <c r="GR1" s="10" t="s">
        <v>229</v>
      </c>
      <c r="GS1" s="10" t="s">
        <v>84</v>
      </c>
      <c r="GT1" s="10" t="s">
        <v>82</v>
      </c>
      <c r="GU1" s="10" t="s">
        <v>230</v>
      </c>
      <c r="GV1" s="10" t="s">
        <v>85</v>
      </c>
      <c r="GW1" s="10" t="s">
        <v>83</v>
      </c>
      <c r="GX1" s="10" t="s">
        <v>231</v>
      </c>
      <c r="GY1" s="10" t="s">
        <v>88</v>
      </c>
      <c r="GZ1" s="10" t="s">
        <v>86</v>
      </c>
      <c r="HA1" s="10" t="s">
        <v>232</v>
      </c>
      <c r="HB1" s="10" t="s">
        <v>89</v>
      </c>
      <c r="HC1" s="10" t="s">
        <v>87</v>
      </c>
      <c r="HD1" s="10" t="s">
        <v>233</v>
      </c>
      <c r="HE1" s="10" t="s">
        <v>76</v>
      </c>
      <c r="HF1" s="10" t="s">
        <v>189</v>
      </c>
      <c r="HG1" s="10" t="s">
        <v>191</v>
      </c>
      <c r="HH1" s="10" t="s">
        <v>192</v>
      </c>
      <c r="HI1" s="10" t="s">
        <v>193</v>
      </c>
      <c r="HJ1" s="10" t="s">
        <v>194</v>
      </c>
      <c r="HK1" s="10" t="s">
        <v>81</v>
      </c>
    </row>
    <row r="2" spans="1:219" ht="15" customHeight="1" x14ac:dyDescent="0.25">
      <c r="A2" s="98" t="str">
        <f>Tabel3[[#This Row],[ProjNo]]&amp;" Run: "&amp;Tabel3[[#This Row],[RunNo]]</f>
        <v>2026RSD03TL Run: 004</v>
      </c>
      <c r="B2" t="s">
        <v>294</v>
      </c>
      <c r="C2" s="98" t="s">
        <v>314</v>
      </c>
      <c r="D2" t="s">
        <v>295</v>
      </c>
      <c r="E2" t="s">
        <v>315</v>
      </c>
      <c r="F2" t="s">
        <v>279</v>
      </c>
      <c r="G2">
        <v>2980</v>
      </c>
      <c r="H2" t="s">
        <v>308</v>
      </c>
      <c r="I2" t="s">
        <v>296</v>
      </c>
      <c r="J2" t="s">
        <v>297</v>
      </c>
      <c r="K2" t="s">
        <v>298</v>
      </c>
      <c r="L2" t="s">
        <v>307</v>
      </c>
      <c r="M2" t="s">
        <v>311</v>
      </c>
      <c r="N2" t="s">
        <v>302</v>
      </c>
      <c r="O2" t="s">
        <v>3</v>
      </c>
      <c r="P2" t="s">
        <v>3</v>
      </c>
      <c r="Q2" t="s">
        <v>3</v>
      </c>
      <c r="R2" t="s">
        <v>3</v>
      </c>
      <c r="S2" t="s">
        <v>298</v>
      </c>
      <c r="T2" t="s">
        <v>307</v>
      </c>
      <c r="U2" t="s">
        <v>312</v>
      </c>
      <c r="V2" t="s">
        <v>303</v>
      </c>
      <c r="W2" t="s">
        <v>280</v>
      </c>
      <c r="X2">
        <v>70</v>
      </c>
      <c r="Y2" t="s">
        <v>313</v>
      </c>
      <c r="Z2" t="s">
        <v>282</v>
      </c>
      <c r="AA2">
        <v>3</v>
      </c>
      <c r="AB2" t="b">
        <v>0</v>
      </c>
      <c r="AC2" t="b">
        <v>0</v>
      </c>
      <c r="AD2" t="b">
        <v>0</v>
      </c>
      <c r="AE2" t="b">
        <v>0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t="b">
        <v>1</v>
      </c>
      <c r="AL2" t="b">
        <v>1</v>
      </c>
      <c r="AM2" t="b">
        <v>1</v>
      </c>
      <c r="BM2" s="98"/>
      <c r="BN2" s="98"/>
      <c r="BO2" s="98"/>
      <c r="BP2" s="98"/>
      <c r="BQ2" s="98"/>
      <c r="BR2" s="98"/>
      <c r="BS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22"/>
      <c r="CH2" s="22"/>
      <c r="CI2" s="22"/>
      <c r="CJ2" s="22"/>
      <c r="CK2" s="22">
        <v>46240</v>
      </c>
      <c r="DZ2">
        <v>1</v>
      </c>
      <c r="EA2" t="s">
        <v>316</v>
      </c>
      <c r="EB2" t="str">
        <f>IF(VLOOKUP($EA$2,Tabel3[],2,FALSE)="","",VLOOKUP($EA$2,Tabel3[],2,FALSE))</f>
        <v>2026RSD03TL</v>
      </c>
      <c r="EC2" t="str">
        <f>IF(VLOOKUP($EA$2,Tabel3[],3,FALSE)="","",VLOOKUP($EA$2,Tabel3[],3,FALSE))</f>
        <v>004</v>
      </c>
      <c r="ED2" t="str">
        <f>IF(VLOOKUP($EA$2,Tabel3[],4,FALSE)="","",VLOOKUP($EA$2,Tabel3[],4,FALSE))</f>
        <v>ADNOC BAB UHTW/UHTW 4.750/4.750</v>
      </c>
      <c r="EE2" t="str">
        <f>IF(VLOOKUP($EA$2,Tabel3[],5,FALSE)="","",VLOOKUP($EA$2,Tabel3[],5,FALSE))</f>
        <v xml:space="preserve">• Test to reproduce 2023 test results (use 2023 sleeve and lower temperature (step by step))
• Install mechanical seals per F00321662 / D0527190-2 revB   
 - Use the job seal sleeve used for testing back in 2023
     - Old part code: C0618730NL   =   current part code: C100028091   =    part drawing F000893469
 - Install thermocouple at IB and OB seal stationary face.
• Pressurize to indicated pressure, measure break-out torque. Repeat torque measurements after 10 minutes.
• Start Test Unit
• Increase the temperature to 60°C at LBI (as per recent tests) and let it run for 100 hrs (119 till Monday morning ;-) )
• Decrease the temperature to 40°C at LBI and let it run for 100 hrs
• Stop test unit and measure break-out torque. Repeat torque measurements after 10 minutes.
• Post-test work Job and plug seal, required on stationary and rotating seal faces.
   - Waviness measurement on 1 location
   - Taper measurement on 2 locations
   - Roughness measurement
   - Profile measurement
</v>
      </c>
      <c r="EF2" t="str">
        <f>IF(VLOOKUP($EA$2,Tabel3[],6,FALSE)="","",VLOOKUP($EA$2,Tabel3[],6,FALSE))</f>
        <v>B</v>
      </c>
      <c r="EG2">
        <f>IF(VLOOKUP($EA$2,Tabel3[],7,FALSE)="","",VLOOKUP($EA$2,Tabel3[],7,FALSE))</f>
        <v>2980</v>
      </c>
      <c r="EH2" t="str">
        <f>IF(VLOOKUP($EA$2,Tabel3[],8,FALSE)="","",VLOOKUP($EA$2,Tabel3[],8,FALSE))</f>
        <v>MT</v>
      </c>
      <c r="EI2" t="str">
        <f>IF(VLOOKUP($EA$2,Tabel3[],9,FALSE)="","",VLOOKUP($EA$2,Tabel3[],9,FALSE))</f>
        <v>F00321662 / D0527190-2 revB</v>
      </c>
      <c r="EJ2" t="str">
        <f>IF(VLOOKUP($EA$2,Tabel3[],10,FALSE)="","",VLOOKUP($EA$2,Tabel3[],10,FALSE))</f>
        <v>min 75</v>
      </c>
      <c r="EK2" t="str">
        <f>IF(VLOOKUP($EA$2,Tabel3[],11,FALSE)="","",VLOOKUP($EA$2,Tabel3[],11,FALSE))</f>
        <v>UHTW 4.750</v>
      </c>
      <c r="EL2" t="str">
        <f>IF(VLOOKUP($EA$2,Tabel3[],12,FALSE)="","",VLOOKUP($EA$2,Tabel3[],12,FALSE))</f>
        <v>C0618722SL</v>
      </c>
      <c r="EM2" t="str">
        <f>IF(VLOOKUP($EA$2,Tabel3[],13,FALSE)="","",VLOOKUP($EA$2,Tabel3[],13,FALSE))</f>
        <v>C0619339SL</v>
      </c>
      <c r="EN2" t="str">
        <f>IF(VLOOKUP($EA$2,Tabel3[],14,FALSE)="","",VLOOKUP($EA$2,Tabel3[],14,FALSE))</f>
        <v>668838NL (9)</v>
      </c>
      <c r="EO2" t="str">
        <f>IF(VLOOKUP($EA$2,Tabel3[],15,FALSE)="","",VLOOKUP($EA$2,Tabel3[],15,FALSE))</f>
        <v/>
      </c>
      <c r="EP2" t="str">
        <f>IF(VLOOKUP($EA$2,Tabel3[],16,FALSE)="","",VLOOKUP($EA$2,Tabel3[],16,FALSE))</f>
        <v/>
      </c>
      <c r="EQ2" t="str">
        <f>IF(VLOOKUP($EA$2,Tabel3[],17,FALSE)="","",VLOOKUP($EA$2,Tabel3[],17,FALSE))</f>
        <v/>
      </c>
      <c r="ER2" t="str">
        <f>IF(VLOOKUP($EA$2,Tabel3[],18,FALSE)="","",VLOOKUP($EA$2,Tabel3[],18,FALSE))</f>
        <v/>
      </c>
      <c r="ES2" t="str">
        <f>IF(VLOOKUP($EA$2,Tabel3[],19,FALSE)="","",VLOOKUP($EA$2,Tabel3[],19,FALSE))</f>
        <v>UHTW 4.750</v>
      </c>
      <c r="ET2" t="str">
        <f>IF(VLOOKUP($EA$2,Tabel3[],20,FALSE)="","",VLOOKUP($EA$2,Tabel3[],20,FALSE))</f>
        <v>C0618722SL</v>
      </c>
      <c r="EU2" t="str">
        <f>IF(VLOOKUP($EA$2,Tabel3[],21,FALSE)="","",VLOOKUP($EA$2,Tabel3[],21,FALSE))</f>
        <v>C0618723SL</v>
      </c>
      <c r="EV2" t="str">
        <f>IF(VLOOKUP($EA$2,Tabel3[],22,FALSE)="","",VLOOKUP($EA$2,Tabel3[],22,FALSE))</f>
        <v>668838NL (10)</v>
      </c>
      <c r="EW2" t="str">
        <f>IF(VLOOKUP($EA$2,Tabel3[],23,FALSE)="","",VLOOKUP($EA$2,Tabel3[],23,FALSE))</f>
        <v>Water</v>
      </c>
      <c r="EX2">
        <f>IF(VLOOKUP($EA$2,Tabel3[],24,FALSE)="","",VLOOKUP($EA$2,Tabel3[],24,FALSE))</f>
        <v>70</v>
      </c>
      <c r="EY2" t="str">
        <f>IF(VLOOKUP($EA$2,Tabel3[],25,FALSE)="","",VLOOKUP($EA$2,Tabel3[],25,FALSE))</f>
        <v>60 - 40</v>
      </c>
      <c r="EZ2" t="str">
        <f>IF(VLOOKUP($EA$2,Tabel3[],26,FALSE)="","",VLOOKUP($EA$2,Tabel3[],26,FALSE))</f>
        <v>TBD</v>
      </c>
      <c r="FA2">
        <f>IF(VLOOKUP($EA$2,Tabel3[],27,FALSE)="","",VLOOKUP($EA$2,Tabel3[],27,FALSE))</f>
        <v>3</v>
      </c>
      <c r="FB2" t="b">
        <f>IF(VLOOKUP($EA$2,Tabel3[],28,FALSE)="","",VLOOKUP($EA$2,Tabel3[],28,FALSE))</f>
        <v>0</v>
      </c>
      <c r="FC2" t="b">
        <f>IF(VLOOKUP($EA$2,Tabel3[],29,FALSE)="","",VLOOKUP($EA$2,Tabel3[],29,FALSE))</f>
        <v>0</v>
      </c>
      <c r="FD2" t="b">
        <f>IF(VLOOKUP($EA$2,Tabel3[],30,FALSE)="","",VLOOKUP($EA$2,Tabel3[],30,FALSE))</f>
        <v>0</v>
      </c>
      <c r="FE2" t="b">
        <f>IF(VLOOKUP($EA$2,Tabel3[],31,FALSE)="","",VLOOKUP($EA$2,Tabel3[],31,FALSE))</f>
        <v>0</v>
      </c>
      <c r="FF2" t="b">
        <f>IF(VLOOKUP($EA$2,Tabel3[],32,FALSE)="","",VLOOKUP($EA$2,Tabel3[],32,FALSE))</f>
        <v>1</v>
      </c>
      <c r="FG2" t="b">
        <f>IF(VLOOKUP($EA$2,Tabel3[],33,FALSE)="","",VLOOKUP($EA$2,Tabel3[],33,FALSE))</f>
        <v>1</v>
      </c>
      <c r="FH2" t="b">
        <f>IF(VLOOKUP($EA$2,Tabel3[],34,FALSE)="","",VLOOKUP($EA$2,Tabel3[],34,FALSE))</f>
        <v>1</v>
      </c>
      <c r="FI2" t="b">
        <f>IF(VLOOKUP($EA$2,Tabel3[],35,FALSE)="","",VLOOKUP($EA$2,Tabel3[],35,FALSE))</f>
        <v>1</v>
      </c>
      <c r="FJ2" t="b">
        <f>IF(VLOOKUP($EA$2,Tabel3[],36,FALSE)="","",VLOOKUP($EA$2,Tabel3[],36,FALSE))</f>
        <v>1</v>
      </c>
      <c r="FK2" t="b">
        <f>IF(VLOOKUP($EA$2,Tabel3[],37,FALSE)="","",VLOOKUP($EA$2,Tabel3[],37,FALSE))</f>
        <v>1</v>
      </c>
      <c r="FL2" t="b">
        <f>IF(VLOOKUP($EA$2,Tabel3[],38,FALSE)="","",VLOOKUP($EA$2,Tabel3[],38,FALSE))</f>
        <v>1</v>
      </c>
      <c r="FM2" t="b">
        <f>IF(VLOOKUP($EA$2,Tabel3[],39,FALSE)="","",VLOOKUP($EA$2,Tabel3[],39,FALSE))</f>
        <v>1</v>
      </c>
      <c r="FN2" t="str">
        <f>IF(VLOOKUP($EA$2,Tabel3[],40,FALSE)="","",VLOOKUP($EA$2,Tabel3[],40,FALSE))</f>
        <v/>
      </c>
      <c r="FO2" t="str">
        <f>IF(VLOOKUP($EA$2,Tabel3[],41,FALSE)="","",VLOOKUP($EA$2,Tabel3[],41,FALSE))</f>
        <v/>
      </c>
      <c r="FP2" t="str">
        <f>IF(VLOOKUP($EA$2,Tabel3[],42,FALSE)="","",VLOOKUP($EA$2,Tabel3[],42,FALSE))</f>
        <v/>
      </c>
      <c r="FQ2" t="str">
        <f>IF(VLOOKUP($EA$2,Tabel3[],43,FALSE)="","",VLOOKUP($EA$2,Tabel3[],43,FALSE))</f>
        <v/>
      </c>
      <c r="FR2" t="str">
        <f>IF(VLOOKUP($EA$2,Tabel3[],44,FALSE)="","",VLOOKUP($EA$2,Tabel3[],44,FALSE))</f>
        <v/>
      </c>
      <c r="FS2" t="str">
        <f>IF(VLOOKUP($EA$2,Tabel3[],45,FALSE)="","",VLOOKUP($EA$2,Tabel3[],45,FALSE))</f>
        <v/>
      </c>
      <c r="FT2" t="str">
        <f>IF(VLOOKUP($EA$2,Tabel3[],46,FALSE)="","",VLOOKUP($EA$2,Tabel3[],46,FALSE))</f>
        <v/>
      </c>
      <c r="FU2" t="str">
        <f>IF(VLOOKUP($EA$2,Tabel3[],47,FALSE)="","",VLOOKUP($EA$2,Tabel3[],47,FALSE))</f>
        <v/>
      </c>
      <c r="FV2" t="str">
        <f>IF(VLOOKUP($EA$2,Tabel3[],48,FALSE)="","",VLOOKUP($EA$2,Tabel3[],48,FALSE))</f>
        <v/>
      </c>
      <c r="FW2" t="str">
        <f>IF(VLOOKUP($EA$2,Tabel3[],49,FALSE)="","",VLOOKUP($EA$2,Tabel3[],49,FALSE))</f>
        <v/>
      </c>
      <c r="FX2" t="str">
        <f>IF(VLOOKUP($EA$2,Tabel3[],50,FALSE)="","",VLOOKUP($EA$2,Tabel3[],50,FALSE))</f>
        <v/>
      </c>
      <c r="FY2" t="str">
        <f>IF(VLOOKUP($EA$2,Tabel3[],51,FALSE)="","",VLOOKUP($EA$2,Tabel3[],51,FALSE))</f>
        <v/>
      </c>
      <c r="FZ2" t="str">
        <f>IF(VLOOKUP($EA$2,Tabel3[],52,FALSE)="","",VLOOKUP($EA$2,Tabel3[],52,FALSE))</f>
        <v/>
      </c>
      <c r="GA2" t="str">
        <f>IF(VLOOKUP($EA$2,Tabel3[],53,FALSE)="","",VLOOKUP($EA$2,Tabel3[],53,FALSE))</f>
        <v/>
      </c>
      <c r="GB2" t="str">
        <f>IF(VLOOKUP($EA$2,Tabel3[],54,FALSE)="","",VLOOKUP($EA$2,Tabel3[],54,FALSE))</f>
        <v/>
      </c>
      <c r="GC2" t="str">
        <f>IF(VLOOKUP($EA$2,Tabel3[],55,FALSE)="","",VLOOKUP($EA$2,Tabel3[],55,FALSE))</f>
        <v/>
      </c>
      <c r="GD2" t="str">
        <f>IF(VLOOKUP($EA$2,Tabel3[],56,FALSE)="","",VLOOKUP($EA$2,Tabel3[],56,FALSE))</f>
        <v/>
      </c>
      <c r="GE2" t="str">
        <f>IF(VLOOKUP($EA$2,Tabel3[],57,FALSE)="","",VLOOKUP($EA$2,Tabel3[],57,FALSE))</f>
        <v/>
      </c>
      <c r="GF2" t="str">
        <f>IF(VLOOKUP($EA$2,Tabel3[],58,FALSE)="","",VLOOKUP($EA$2,Tabel3[],58,FALSE))</f>
        <v/>
      </c>
      <c r="GG2" t="str">
        <f>IF(VLOOKUP($EA$2,Tabel3[],59,FALSE)="","",VLOOKUP($EA$2,Tabel3[],59,FALSE))</f>
        <v/>
      </c>
      <c r="GH2" t="str">
        <f>IF(VLOOKUP($EA$2,Tabel3[],60,FALSE)="","",VLOOKUP($EA$2,Tabel3[],60,FALSE))</f>
        <v/>
      </c>
      <c r="GI2" t="str">
        <f>IF(VLOOKUP($EA$2,Tabel3[],61,FALSE)="","",VLOOKUP($EA$2,Tabel3[],61,FALSE))</f>
        <v/>
      </c>
      <c r="GJ2" t="str">
        <f>IF(VLOOKUP($EA$2,Tabel3[],62,FALSE)="","",VLOOKUP($EA$2,Tabel3[],62,FALSE))</f>
        <v/>
      </c>
      <c r="GK2" t="str">
        <f>IF(VLOOKUP($EA$2,Tabel3[],63,FALSE)="","",VLOOKUP($EA$2,Tabel3[],63,FALSE))</f>
        <v/>
      </c>
      <c r="GL2" t="str">
        <f>IF(VLOOKUP($EA$2,Tabel3[],64,FALSE)="","",VLOOKUP($EA$2,Tabel3[],64,FALSE))</f>
        <v/>
      </c>
      <c r="GM2" t="str">
        <f>IF(VLOOKUP($EA$2,Tabel3[],65,FALSE)="","",VLOOKUP($EA$2,Tabel3[],65,FALSE))</f>
        <v/>
      </c>
      <c r="GN2" t="str">
        <f>IF(VLOOKUP($EA$2,Tabel3[],66,FALSE)="","",VLOOKUP($EA$2,Tabel3[],66,FALSE))</f>
        <v/>
      </c>
      <c r="GO2" t="str">
        <f>IF(VLOOKUP($EA$2,Tabel3[],67,FALSE)="","",VLOOKUP($EA$2,Tabel3[],67,FALSE))</f>
        <v/>
      </c>
      <c r="GP2" t="str">
        <f>IF(VLOOKUP($EA$2,Tabel3[],68,FALSE)="","",VLOOKUP($EA$2,Tabel3[],68,FALSE))</f>
        <v/>
      </c>
      <c r="GQ2" t="str">
        <f>IF(VLOOKUP($EA$2,Tabel3[],69,FALSE)="","",VLOOKUP($EA$2,Tabel3[],69,FALSE))</f>
        <v/>
      </c>
      <c r="GR2" t="str">
        <f>IF(VLOOKUP($EA$2,Tabel3[],70,FALSE)="","",VLOOKUP($EA$2,Tabel3[],70,FALSE))</f>
        <v/>
      </c>
      <c r="GS2" t="str">
        <f>IF(VLOOKUP($EA$2,Tabel3[],71,FALSE)="","",VLOOKUP($EA$2,Tabel3[],71,FALSE))</f>
        <v/>
      </c>
      <c r="GT2" t="str">
        <f>IF(VLOOKUP($EA$2,Tabel3[],72,FALSE)="","",VLOOKUP($EA$2,Tabel3[],72,FALSE))</f>
        <v/>
      </c>
      <c r="GU2" t="str">
        <f>IF(VLOOKUP($EA$2,Tabel3[],73,FALSE)="","",VLOOKUP($EA$2,Tabel3[],73,FALSE))</f>
        <v/>
      </c>
      <c r="GV2" t="str">
        <f>IF(VLOOKUP($EA$2,Tabel3[],74,FALSE)="","",VLOOKUP($EA$2,Tabel3[],74,FALSE))</f>
        <v/>
      </c>
      <c r="GW2" t="str">
        <f>IF(VLOOKUP($EA$2,Tabel3[],75,FALSE)="","",VLOOKUP($EA$2,Tabel3[],75,FALSE))</f>
        <v/>
      </c>
      <c r="GX2" t="str">
        <f>IF(VLOOKUP($EA$2,Tabel3[],76,FALSE)="","",VLOOKUP($EA$2,Tabel3[],76,FALSE))</f>
        <v/>
      </c>
      <c r="GY2" t="str">
        <f>IF(VLOOKUP($EA$2,Tabel3[],77,FALSE)="","",VLOOKUP($EA$2,Tabel3[],77,FALSE))</f>
        <v/>
      </c>
      <c r="GZ2" t="str">
        <f>IF(VLOOKUP($EA$2,Tabel3[],78,FALSE)="","",VLOOKUP($EA$2,Tabel3[],78,FALSE))</f>
        <v/>
      </c>
      <c r="HA2" t="str">
        <f>IF(VLOOKUP($EA$2,Tabel3[],79,FALSE)="","",VLOOKUP($EA$2,Tabel3[],79,FALSE))</f>
        <v/>
      </c>
      <c r="HB2" t="str">
        <f>IF(VLOOKUP($EA$2,Tabel3[],80,FALSE)="","",VLOOKUP($EA$2,Tabel3[],80,FALSE))</f>
        <v/>
      </c>
      <c r="HC2" t="str">
        <f>IF(VLOOKUP($EA$2,Tabel3[],81,FALSE)="","",VLOOKUP($EA$2,Tabel3[],81,FALSE))</f>
        <v/>
      </c>
      <c r="HD2" t="str">
        <f>IF(VLOOKUP($EA$2,Tabel3[],82,FALSE)="","",VLOOKUP($EA$2,Tabel3[],82,FALSE))</f>
        <v/>
      </c>
      <c r="HE2" t="str">
        <f>IF(VLOOKUP($EA$2,Tabel3[],83,FALSE)="","",VLOOKUP($EA$2,Tabel3[],83,FALSE))</f>
        <v/>
      </c>
      <c r="HF2" t="str">
        <f>IF(VLOOKUP($EA$2,Tabel3[],84,FALSE)="","",VLOOKUP($EA$2,Tabel3[],84,FALSE))</f>
        <v/>
      </c>
      <c r="HG2" t="str">
        <f>IF(VLOOKUP($EA$2,Tabel3[],85,FALSE)="","",VLOOKUP($EA$2,Tabel3[],85,FALSE))</f>
        <v/>
      </c>
      <c r="HH2" t="str">
        <f>IF(VLOOKUP($EA$2,Tabel3[],86,FALSE)="","",VLOOKUP($EA$2,Tabel3[],86,FALSE))</f>
        <v/>
      </c>
      <c r="HI2" t="str">
        <f>IF(VLOOKUP($EA$2,Tabel3[],87,FALSE)="","",VLOOKUP($EA$2,Tabel3[],87,FALSE))</f>
        <v/>
      </c>
      <c r="HJ2" t="str">
        <f>IF(VLOOKUP($EA$2,Tabel3[],88,FALSE)="","",VLOOKUP($EA$2,Tabel3[],88,FALSE))</f>
        <v/>
      </c>
      <c r="HK2" s="48">
        <f>IF(VLOOKUP($EA$2,Tabel3[],89,FALSE)="","",VLOOKUP($EA$2,Tabel3[],89,FALSE))</f>
        <v>46240</v>
      </c>
    </row>
    <row r="3" spans="1:219" ht="15" customHeight="1" x14ac:dyDescent="0.25">
      <c r="A3" t="str">
        <f>Tabel3[[#This Row],[ProjNo]]&amp;" Run: "&amp;Tabel3[[#This Row],[RunNo]]</f>
        <v>2026RSD03TL Run: 003</v>
      </c>
      <c r="B3" t="s">
        <v>294</v>
      </c>
      <c r="C3" t="s">
        <v>309</v>
      </c>
      <c r="D3" t="s">
        <v>295</v>
      </c>
      <c r="E3" t="s">
        <v>310</v>
      </c>
      <c r="F3" t="s">
        <v>279</v>
      </c>
      <c r="G3">
        <v>2980</v>
      </c>
      <c r="H3" t="s">
        <v>308</v>
      </c>
      <c r="I3" t="s">
        <v>296</v>
      </c>
      <c r="J3" t="s">
        <v>297</v>
      </c>
      <c r="K3" t="s">
        <v>298</v>
      </c>
      <c r="L3" t="s">
        <v>307</v>
      </c>
      <c r="M3" t="s">
        <v>311</v>
      </c>
      <c r="N3" t="s">
        <v>302</v>
      </c>
      <c r="O3" t="s">
        <v>3</v>
      </c>
      <c r="P3" t="s">
        <v>3</v>
      </c>
      <c r="Q3" t="s">
        <v>3</v>
      </c>
      <c r="R3" t="s">
        <v>3</v>
      </c>
      <c r="S3" t="s">
        <v>298</v>
      </c>
      <c r="T3" t="s">
        <v>307</v>
      </c>
      <c r="U3" t="s">
        <v>312</v>
      </c>
      <c r="V3" t="s">
        <v>303</v>
      </c>
      <c r="W3" t="s">
        <v>280</v>
      </c>
      <c r="X3">
        <v>70</v>
      </c>
      <c r="Y3">
        <v>60</v>
      </c>
      <c r="Z3" t="s">
        <v>282</v>
      </c>
      <c r="AA3">
        <v>3</v>
      </c>
      <c r="AB3" t="b">
        <v>0</v>
      </c>
      <c r="AC3" t="b">
        <v>0</v>
      </c>
      <c r="AD3" t="b">
        <v>0</v>
      </c>
      <c r="AE3" t="b">
        <v>0</v>
      </c>
      <c r="AF3" t="b">
        <v>1</v>
      </c>
      <c r="AG3" t="b">
        <v>1</v>
      </c>
      <c r="AH3" t="b">
        <v>1</v>
      </c>
      <c r="AI3" t="b">
        <v>1</v>
      </c>
      <c r="AJ3" t="b">
        <v>1</v>
      </c>
      <c r="AK3" t="b">
        <v>1</v>
      </c>
      <c r="AL3" t="b">
        <v>1</v>
      </c>
      <c r="AM3" t="b">
        <v>1</v>
      </c>
      <c r="CG3" s="22"/>
      <c r="CH3" s="22"/>
      <c r="CI3" s="22"/>
      <c r="CJ3" s="22"/>
      <c r="CK3" s="22">
        <v>46217</v>
      </c>
    </row>
    <row r="4" spans="1:219" ht="15" customHeight="1" x14ac:dyDescent="0.25">
      <c r="A4" t="str">
        <f>Tabel3[[#This Row],[ProjNo]]&amp;" Run: "&amp;Tabel3[[#This Row],[RunNo]]</f>
        <v>2026RSD03TL Run: 002</v>
      </c>
      <c r="B4" t="s">
        <v>294</v>
      </c>
      <c r="C4" t="s">
        <v>305</v>
      </c>
      <c r="D4" t="s">
        <v>295</v>
      </c>
      <c r="E4" t="s">
        <v>306</v>
      </c>
      <c r="F4" t="s">
        <v>279</v>
      </c>
      <c r="G4">
        <v>2980</v>
      </c>
      <c r="H4" t="s">
        <v>286</v>
      </c>
      <c r="I4" t="s">
        <v>296</v>
      </c>
      <c r="J4" t="s">
        <v>297</v>
      </c>
      <c r="K4" t="s">
        <v>298</v>
      </c>
      <c r="L4" t="s">
        <v>299</v>
      </c>
      <c r="M4" t="s">
        <v>300</v>
      </c>
      <c r="N4" t="s">
        <v>302</v>
      </c>
      <c r="O4" t="s">
        <v>3</v>
      </c>
      <c r="P4" t="s">
        <v>3</v>
      </c>
      <c r="Q4" t="s">
        <v>3</v>
      </c>
      <c r="R4" t="s">
        <v>3</v>
      </c>
      <c r="S4" t="s">
        <v>298</v>
      </c>
      <c r="T4" t="s">
        <v>299</v>
      </c>
      <c r="U4" t="s">
        <v>301</v>
      </c>
      <c r="V4" t="s">
        <v>303</v>
      </c>
      <c r="W4" t="s">
        <v>280</v>
      </c>
      <c r="X4">
        <v>70</v>
      </c>
      <c r="Y4">
        <v>60</v>
      </c>
      <c r="Z4" t="s">
        <v>282</v>
      </c>
      <c r="AA4">
        <v>3</v>
      </c>
      <c r="AB4" t="b">
        <v>0</v>
      </c>
      <c r="AC4" t="b">
        <v>0</v>
      </c>
      <c r="AD4" t="b">
        <v>0</v>
      </c>
      <c r="AE4" t="b">
        <v>0</v>
      </c>
      <c r="AF4" t="b">
        <v>1</v>
      </c>
      <c r="AG4" t="b">
        <v>1</v>
      </c>
      <c r="AH4" t="b">
        <v>1</v>
      </c>
      <c r="AI4" t="b">
        <v>1</v>
      </c>
      <c r="AJ4" t="b">
        <v>1</v>
      </c>
      <c r="AK4" t="b">
        <v>1</v>
      </c>
      <c r="AL4" t="b">
        <v>1</v>
      </c>
      <c r="AM4" t="b">
        <v>1</v>
      </c>
      <c r="CG4" s="22"/>
      <c r="CH4" s="22"/>
      <c r="CI4" s="22"/>
      <c r="CJ4" s="22"/>
      <c r="CK4" s="22">
        <v>46210</v>
      </c>
    </row>
    <row r="5" spans="1:219" ht="15" customHeight="1" x14ac:dyDescent="0.25">
      <c r="A5" t="str">
        <f>Tabel3[[#This Row],[ProjNo]]&amp;" Run: "&amp;Tabel3[[#This Row],[RunNo]]</f>
        <v>2026RSD03TL Run: 001</v>
      </c>
      <c r="B5" t="s">
        <v>294</v>
      </c>
      <c r="C5" t="s">
        <v>281</v>
      </c>
      <c r="D5" t="s">
        <v>295</v>
      </c>
      <c r="E5" t="s">
        <v>304</v>
      </c>
      <c r="F5" t="s">
        <v>279</v>
      </c>
      <c r="G5">
        <v>2980</v>
      </c>
      <c r="H5" t="s">
        <v>286</v>
      </c>
      <c r="I5" t="s">
        <v>296</v>
      </c>
      <c r="J5" t="s">
        <v>297</v>
      </c>
      <c r="K5" t="s">
        <v>298</v>
      </c>
      <c r="L5" t="s">
        <v>299</v>
      </c>
      <c r="M5" t="s">
        <v>300</v>
      </c>
      <c r="N5" t="s">
        <v>302</v>
      </c>
      <c r="O5" t="s">
        <v>3</v>
      </c>
      <c r="P5" t="s">
        <v>3</v>
      </c>
      <c r="Q5" t="s">
        <v>3</v>
      </c>
      <c r="R5" t="s">
        <v>3</v>
      </c>
      <c r="S5" t="s">
        <v>298</v>
      </c>
      <c r="T5" t="s">
        <v>299</v>
      </c>
      <c r="U5" t="s">
        <v>301</v>
      </c>
      <c r="V5" t="s">
        <v>303</v>
      </c>
      <c r="W5" t="s">
        <v>280</v>
      </c>
      <c r="X5">
        <v>70</v>
      </c>
      <c r="Y5">
        <v>60</v>
      </c>
      <c r="Z5" t="s">
        <v>282</v>
      </c>
      <c r="AA5">
        <v>3</v>
      </c>
      <c r="AB5" t="b">
        <v>0</v>
      </c>
      <c r="AC5" t="b">
        <v>0</v>
      </c>
      <c r="AD5" t="b">
        <v>0</v>
      </c>
      <c r="AE5" t="b">
        <v>0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CG5" s="22"/>
      <c r="CH5" s="22"/>
      <c r="CI5" s="22"/>
      <c r="CJ5" s="22"/>
      <c r="CK5" s="22">
        <v>46189</v>
      </c>
    </row>
    <row r="6" spans="1:219" x14ac:dyDescent="0.25">
      <c r="A6" t="str">
        <f>Tabel3[[#This Row],[ProjNo]]&amp;" Run: "&amp;Tabel3[[#This Row],[RunNo]]</f>
        <v>2025RSD02TL Run: 001</v>
      </c>
      <c r="B6" t="s">
        <v>283</v>
      </c>
      <c r="C6" t="s">
        <v>281</v>
      </c>
      <c r="D6" t="s">
        <v>285</v>
      </c>
      <c r="E6" t="s">
        <v>293</v>
      </c>
      <c r="F6" t="s">
        <v>279</v>
      </c>
      <c r="G6">
        <v>1100</v>
      </c>
      <c r="H6" t="s">
        <v>286</v>
      </c>
      <c r="I6" t="s">
        <v>284</v>
      </c>
      <c r="J6">
        <v>50</v>
      </c>
      <c r="K6" t="s">
        <v>287</v>
      </c>
      <c r="L6" t="s">
        <v>288</v>
      </c>
      <c r="M6" t="s">
        <v>289</v>
      </c>
      <c r="N6" t="s">
        <v>291</v>
      </c>
      <c r="O6" t="s">
        <v>280</v>
      </c>
      <c r="P6">
        <v>80</v>
      </c>
      <c r="Q6" t="s">
        <v>292</v>
      </c>
      <c r="R6" t="s">
        <v>282</v>
      </c>
      <c r="S6" t="s">
        <v>287</v>
      </c>
      <c r="T6" t="s">
        <v>288</v>
      </c>
      <c r="U6" t="s">
        <v>289</v>
      </c>
      <c r="V6" t="s">
        <v>290</v>
      </c>
      <c r="W6" t="s">
        <v>3</v>
      </c>
      <c r="X6" t="s">
        <v>3</v>
      </c>
      <c r="Y6" t="s">
        <v>3</v>
      </c>
      <c r="Z6" t="s">
        <v>3</v>
      </c>
      <c r="AA6">
        <v>1</v>
      </c>
      <c r="AB6" t="b">
        <v>0</v>
      </c>
      <c r="AC6" t="b">
        <v>1</v>
      </c>
      <c r="AD6" t="b">
        <v>1</v>
      </c>
      <c r="AE6" t="b">
        <v>1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0</v>
      </c>
      <c r="AM6" t="b">
        <v>1</v>
      </c>
      <c r="CG6" s="22"/>
      <c r="CH6" s="22"/>
      <c r="CI6" s="22"/>
      <c r="CJ6" s="22"/>
      <c r="CK6" s="22">
        <v>45820</v>
      </c>
    </row>
  </sheetData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>
    <pageSetUpPr fitToPage="1"/>
  </sheetPr>
  <dimension ref="A1:FM25"/>
  <sheetViews>
    <sheetView zoomScale="85" zoomScaleNormal="85" workbookViewId="0">
      <pane ySplit="4" topLeftCell="A5" activePane="bottomLeft" state="frozen"/>
      <selection pane="bottomLeft" activeCell="D6" sqref="D6:E6 I6 N6:P6 D7:P7 D9:P9 D10 D11 D12 D13:E13 H10:J13 H15:J15 H16:H18 N10:P13 N15:P15 N16:N18"/>
    </sheetView>
  </sheetViews>
  <sheetFormatPr defaultColWidth="9.140625" defaultRowHeight="15" x14ac:dyDescent="0.25"/>
  <cols>
    <col min="1" max="1" width="10.7109375" style="1" customWidth="1"/>
    <col min="2" max="2" width="9.140625" style="1" customWidth="1"/>
    <col min="3" max="3" width="9.140625" style="11" customWidth="1"/>
    <col min="4" max="130" width="9.140625" style="1" customWidth="1"/>
    <col min="131" max="157" width="9.140625" style="1" hidden="1" customWidth="1"/>
    <col min="158" max="158" width="9.42578125" style="1" hidden="1" customWidth="1"/>
    <col min="159" max="169" width="9.140625" style="1" hidden="1" customWidth="1"/>
    <col min="170" max="16384" width="9.140625" style="1"/>
  </cols>
  <sheetData>
    <row r="1" spans="3:169" x14ac:dyDescent="0.25">
      <c r="EA1" s="10" t="s">
        <v>42</v>
      </c>
      <c r="EB1" s="10" t="s">
        <v>43</v>
      </c>
      <c r="EC1" s="10" t="s">
        <v>44</v>
      </c>
      <c r="ED1" s="10" t="s">
        <v>45</v>
      </c>
      <c r="EE1" s="10" t="s">
        <v>35</v>
      </c>
      <c r="EF1" s="10" t="s">
        <v>2</v>
      </c>
      <c r="EG1" s="10" t="s">
        <v>1</v>
      </c>
      <c r="EH1" s="10" t="s">
        <v>46</v>
      </c>
      <c r="EI1" s="10" t="s">
        <v>47</v>
      </c>
      <c r="EJ1" s="10" t="s">
        <v>16</v>
      </c>
      <c r="EK1" s="10" t="s">
        <v>48</v>
      </c>
      <c r="EL1" s="10" t="s">
        <v>11</v>
      </c>
      <c r="EM1" s="10" t="s">
        <v>10</v>
      </c>
      <c r="EN1" s="10" t="s">
        <v>12</v>
      </c>
      <c r="EO1" s="10" t="s">
        <v>0</v>
      </c>
      <c r="EP1" s="10" t="s">
        <v>22</v>
      </c>
      <c r="EQ1" s="10" t="s">
        <v>49</v>
      </c>
      <c r="ER1" s="10" t="s">
        <v>25</v>
      </c>
      <c r="ES1" s="10" t="s">
        <v>50</v>
      </c>
      <c r="ET1" s="10" t="s">
        <v>14</v>
      </c>
      <c r="EU1" s="10" t="s">
        <v>13</v>
      </c>
      <c r="EV1" s="10" t="s">
        <v>15</v>
      </c>
      <c r="EW1" s="10" t="s">
        <v>51</v>
      </c>
      <c r="EX1" s="10" t="s">
        <v>52</v>
      </c>
      <c r="EY1" s="10" t="s">
        <v>53</v>
      </c>
      <c r="EZ1" s="10" t="s">
        <v>54</v>
      </c>
      <c r="FA1" s="10" t="s">
        <v>55</v>
      </c>
      <c r="FB1" s="10" t="s">
        <v>56</v>
      </c>
      <c r="FC1" s="10" t="s">
        <v>57</v>
      </c>
      <c r="FD1" s="10" t="s">
        <v>58</v>
      </c>
      <c r="FE1" s="10" t="s">
        <v>59</v>
      </c>
      <c r="FF1" s="10" t="s">
        <v>60</v>
      </c>
      <c r="FG1" s="10" t="s">
        <v>61</v>
      </c>
      <c r="FH1" s="10" t="s">
        <v>62</v>
      </c>
      <c r="FI1" s="10" t="s">
        <v>63</v>
      </c>
      <c r="FJ1" s="10" t="s">
        <v>64</v>
      </c>
      <c r="FK1" s="10" t="s">
        <v>65</v>
      </c>
      <c r="FL1" s="10" t="s">
        <v>66</v>
      </c>
      <c r="FM1" s="10" t="s">
        <v>67</v>
      </c>
    </row>
    <row r="2" spans="3:169" x14ac:dyDescent="0.25">
      <c r="EA2" s="17" t="str">
        <f>EB2&amp;" Run: "&amp;EC2</f>
        <v xml:space="preserve"> Run: </v>
      </c>
      <c r="EB2" s="17" t="str">
        <f>IF(D6="","",D6)</f>
        <v/>
      </c>
      <c r="EC2" s="17" t="str">
        <f>IF(I6="","",IF(LEN(I6)=1,"00"&amp;I6,IF(LEN(I6)=2,"0"&amp;I6,I6)))</f>
        <v/>
      </c>
      <c r="ED2" s="17" t="str">
        <f>IF(D7="","",D7)</f>
        <v/>
      </c>
      <c r="EE2" s="17" t="str">
        <f>IF(D9="","",D9)</f>
        <v/>
      </c>
      <c r="EF2" s="17" t="str">
        <f>IF(D10="","",D10)</f>
        <v/>
      </c>
      <c r="EG2" s="17" t="str">
        <f>IF(D11="","",D11)</f>
        <v/>
      </c>
      <c r="EH2" s="17" t="str">
        <f>IF(D13="","",D13)</f>
        <v/>
      </c>
      <c r="EI2" s="17" t="str">
        <f>IF(N6="","",N6)</f>
        <v/>
      </c>
      <c r="EJ2" s="17" t="str">
        <f>IF(D12="","",D12)</f>
        <v/>
      </c>
      <c r="EK2" s="17" t="str">
        <f>IF(H10="","",H10)</f>
        <v/>
      </c>
      <c r="EL2" s="17" t="str">
        <f>IF(H11="","",H11)</f>
        <v/>
      </c>
      <c r="EM2" s="17" t="str">
        <f>IF(H12="","",H12)</f>
        <v/>
      </c>
      <c r="EN2" s="17" t="str">
        <f>IF(H13="","",H13)</f>
        <v/>
      </c>
      <c r="EO2" s="17" t="str">
        <f>IF(H15="","",H15)</f>
        <v/>
      </c>
      <c r="EP2" s="17" t="str">
        <f>IF(H16="","",H16)</f>
        <v/>
      </c>
      <c r="EQ2" s="17" t="str">
        <f>IF(H17="","",H17)</f>
        <v/>
      </c>
      <c r="ER2" s="17" t="str">
        <f>IF(H18="","",H18)</f>
        <v/>
      </c>
      <c r="ES2" s="17" t="str">
        <f>IF(N10="","",N10)</f>
        <v/>
      </c>
      <c r="ET2" s="17" t="str">
        <f>IF(N11="","",N11)</f>
        <v/>
      </c>
      <c r="EU2" s="17" t="str">
        <f>IF(N12="","",N12)</f>
        <v/>
      </c>
      <c r="EV2" s="17" t="str">
        <f>IF(N13="","",N13)</f>
        <v/>
      </c>
      <c r="EW2" s="17" t="str">
        <f>IF(N15="","",N15)</f>
        <v/>
      </c>
      <c r="EX2" s="17" t="str">
        <f>IF(N16="","",N16)</f>
        <v/>
      </c>
      <c r="EY2" s="17" t="str">
        <f>IF(N17="","",N17)</f>
        <v/>
      </c>
      <c r="EZ2" s="17" t="str">
        <f>IF(N18="","",N18)</f>
        <v/>
      </c>
      <c r="FA2" s="17">
        <v>3</v>
      </c>
      <c r="FB2" s="17" t="b">
        <v>0</v>
      </c>
      <c r="FC2" s="17" t="b">
        <v>0</v>
      </c>
      <c r="FD2" s="17" t="b">
        <v>0</v>
      </c>
      <c r="FE2" s="17" t="b">
        <v>0</v>
      </c>
      <c r="FF2" s="17" t="b">
        <v>1</v>
      </c>
      <c r="FG2" s="17" t="b">
        <v>1</v>
      </c>
      <c r="FH2" s="17" t="b">
        <v>1</v>
      </c>
      <c r="FI2" s="17" t="b">
        <v>1</v>
      </c>
      <c r="FJ2" s="17" t="b">
        <v>1</v>
      </c>
      <c r="FK2" s="17" t="b">
        <v>1</v>
      </c>
      <c r="FL2" s="17" t="b">
        <v>1</v>
      </c>
      <c r="FM2" s="17" t="b">
        <v>1</v>
      </c>
    </row>
    <row r="4" spans="3:169" x14ac:dyDescent="0.25">
      <c r="F4" s="12"/>
      <c r="EA4" s="1" t="s">
        <v>94</v>
      </c>
      <c r="EC4" s="1" t="str">
        <f>IFERROR(VLOOKUP($EA$2,Tabel3[],1,FALSE),"")</f>
        <v/>
      </c>
    </row>
    <row r="6" spans="3:169" x14ac:dyDescent="0.25">
      <c r="C6" s="11" t="s">
        <v>4</v>
      </c>
      <c r="D6" s="66"/>
      <c r="E6" s="66"/>
      <c r="H6" s="11" t="s">
        <v>245</v>
      </c>
      <c r="I6" s="9"/>
      <c r="M6" s="11" t="s">
        <v>18</v>
      </c>
      <c r="N6" s="67"/>
      <c r="O6" s="68"/>
      <c r="P6" s="68"/>
    </row>
    <row r="7" spans="3:169" x14ac:dyDescent="0.25">
      <c r="C7" s="11" t="s">
        <v>20</v>
      </c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</row>
    <row r="8" spans="3:169" x14ac:dyDescent="0.25">
      <c r="D8" s="1" t="s">
        <v>278</v>
      </c>
    </row>
    <row r="9" spans="3:169" ht="276.75" customHeight="1" x14ac:dyDescent="0.25">
      <c r="C9" s="13" t="s">
        <v>34</v>
      </c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</row>
    <row r="10" spans="3:169" x14ac:dyDescent="0.25">
      <c r="C10" s="11" t="s">
        <v>6</v>
      </c>
      <c r="D10" s="9"/>
      <c r="G10" s="11" t="str">
        <f>IF($FA$2=1,"Plug Seal Type and Size: ","IB Seal type and Size: ")</f>
        <v xml:space="preserve">IB Seal type and Size: </v>
      </c>
      <c r="H10" s="68"/>
      <c r="I10" s="68"/>
      <c r="J10" s="68"/>
      <c r="M10" s="11" t="str">
        <f>IF($FA$2=1,"Test Seal Type and Size: ","OB Seal type and Size: ")</f>
        <v xml:space="preserve">OB Seal type and Size: </v>
      </c>
      <c r="N10" s="68"/>
      <c r="O10" s="68"/>
      <c r="P10" s="68"/>
    </row>
    <row r="11" spans="3:169" ht="15" customHeight="1" x14ac:dyDescent="0.25">
      <c r="C11" s="11" t="s">
        <v>7</v>
      </c>
      <c r="D11" s="5"/>
      <c r="E11" s="1" t="str">
        <f>IF(D11="","","rpm")</f>
        <v/>
      </c>
      <c r="G11" s="11" t="str">
        <f>IF($FA$2=1,"PS Stationary Face: ","IB Stationary Face: ")</f>
        <v xml:space="preserve">IB Stationary Face: </v>
      </c>
      <c r="H11" s="68"/>
      <c r="I11" s="68"/>
      <c r="J11" s="68"/>
      <c r="M11" s="11" t="str">
        <f>IF($FA$2=1,"TS Stationary Face: ","OB Stationary Face: ")</f>
        <v xml:space="preserve">OB Stationary Face: </v>
      </c>
      <c r="N11" s="68"/>
      <c r="O11" s="68"/>
      <c r="P11" s="68"/>
      <c r="U11" s="11"/>
    </row>
    <row r="12" spans="3:169" x14ac:dyDescent="0.25">
      <c r="C12" s="11" t="s">
        <v>17</v>
      </c>
      <c r="D12" s="5"/>
      <c r="E12" s="1" t="str">
        <f>IF(D12="","","hours")</f>
        <v/>
      </c>
      <c r="G12" s="11" t="str">
        <f>IF($FA$2=1,"PS Rotating Face: ","IB Rotating Face: ")</f>
        <v xml:space="preserve">IB Rotating Face: </v>
      </c>
      <c r="H12" s="68"/>
      <c r="I12" s="68"/>
      <c r="J12" s="68"/>
      <c r="M12" s="11" t="str">
        <f>IF($FA$2=1,"TS Rotating Face: ","OB Rotating Face: ")</f>
        <v xml:space="preserve">OB Rotating Face: </v>
      </c>
      <c r="N12" s="68"/>
      <c r="O12" s="68"/>
      <c r="P12" s="68"/>
      <c r="U12" s="11"/>
    </row>
    <row r="13" spans="3:169" x14ac:dyDescent="0.25">
      <c r="C13" s="11" t="s">
        <v>9</v>
      </c>
      <c r="D13" s="66"/>
      <c r="E13" s="66"/>
      <c r="G13" s="11" t="str">
        <f>IF($FA$2=1,"PS Spring(s): ","IB Spring(s): ")</f>
        <v xml:space="preserve">IB Spring(s): </v>
      </c>
      <c r="H13" s="68"/>
      <c r="I13" s="68"/>
      <c r="J13" s="68"/>
      <c r="M13" s="11" t="str">
        <f>IF($FA$2=1,"TS Spring(s): ","OB Spring(s): ")</f>
        <v xml:space="preserve">OB Spring(s): </v>
      </c>
      <c r="N13" s="68"/>
      <c r="O13" s="68"/>
      <c r="P13" s="68"/>
    </row>
    <row r="14" spans="3:169" x14ac:dyDescent="0.25">
      <c r="D14" s="11"/>
      <c r="E14" s="11"/>
      <c r="N14" s="12"/>
      <c r="O14" s="12"/>
      <c r="P14" s="12"/>
    </row>
    <row r="15" spans="3:169" x14ac:dyDescent="0.25">
      <c r="G15" s="11" t="s">
        <v>264</v>
      </c>
      <c r="H15" s="66"/>
      <c r="I15" s="66"/>
      <c r="J15" s="66"/>
      <c r="M15" s="11" t="str">
        <f>IF(FA2=1,"",IF(FA2=2,"Buffer Medium: ","Barrier Medium: "))</f>
        <v xml:space="preserve">Barrier Medium: </v>
      </c>
      <c r="N15" s="94"/>
      <c r="O15" s="94"/>
      <c r="P15" s="94"/>
    </row>
    <row r="16" spans="3:169" x14ac:dyDescent="0.25">
      <c r="G16" s="11" t="s">
        <v>265</v>
      </c>
      <c r="H16" s="44"/>
      <c r="I16" s="14" t="str">
        <f>IF(H16="",""," barg")</f>
        <v/>
      </c>
      <c r="M16" s="11" t="str">
        <f>IF(FA2=1,"",IF(FA2=2,"Buffer Pressure: ","Barrier Pressure: "))</f>
        <v xml:space="preserve">Barrier Pressure: </v>
      </c>
      <c r="N16" s="95"/>
      <c r="O16" s="14" t="str">
        <f>IF(N16="",""," barg")</f>
        <v/>
      </c>
      <c r="P16" s="42"/>
    </row>
    <row r="17" spans="1:16" x14ac:dyDescent="0.25">
      <c r="G17" s="11" t="s">
        <v>266</v>
      </c>
      <c r="H17" s="44"/>
      <c r="I17" s="14" t="str">
        <f>IF(H17="","","°C")</f>
        <v/>
      </c>
      <c r="M17" s="11" t="str">
        <f>IF(FA2=1,"",IF(FA2=2,"Buffer Temperature: ","Barrier Temperature: "))</f>
        <v xml:space="preserve">Barrier Temperature: </v>
      </c>
      <c r="N17" s="96"/>
      <c r="O17" s="14" t="str">
        <f>IF(N17="","","°C")</f>
        <v/>
      </c>
      <c r="P17" s="43"/>
    </row>
    <row r="18" spans="1:16" x14ac:dyDescent="0.25">
      <c r="G18" s="11" t="s">
        <v>267</v>
      </c>
      <c r="H18" s="5"/>
      <c r="I18" s="1" t="str">
        <f>IF(H18="","","l/min")</f>
        <v/>
      </c>
      <c r="M18" s="11" t="str">
        <f>IF(FA2=1,"",IF(FA2=2,"Buffer Flow: ","Barrier Flow: "))</f>
        <v xml:space="preserve">Barrier Flow: </v>
      </c>
      <c r="N18" s="97"/>
      <c r="O18" s="1" t="str">
        <f>IF(N18="","","l/min")</f>
        <v/>
      </c>
      <c r="P18" s="43"/>
    </row>
    <row r="19" spans="1:16" x14ac:dyDescent="0.25">
      <c r="C19" s="1"/>
      <c r="D19" s="11"/>
      <c r="N19" s="12"/>
    </row>
    <row r="20" spans="1:16" x14ac:dyDescent="0.25">
      <c r="A20" s="6"/>
      <c r="C20" s="1"/>
      <c r="D20" s="11"/>
    </row>
    <row r="21" spans="1:16" x14ac:dyDescent="0.25">
      <c r="A21" s="6"/>
      <c r="C21" s="1"/>
      <c r="D21" s="11"/>
      <c r="G21" s="15" t="s">
        <v>268</v>
      </c>
      <c r="H21" s="16"/>
      <c r="I21" s="16"/>
      <c r="J21" s="16"/>
      <c r="K21" s="15" t="str">
        <f>IF($FA$2=1,"Plan 23 Pressure",IF($FA$2=2,"Buffer Pressure","Barrier Pressure"))</f>
        <v>Barrier Pressure</v>
      </c>
      <c r="L21" s="16"/>
      <c r="M21" s="16"/>
      <c r="N21" s="16"/>
      <c r="O21" s="15" t="s">
        <v>72</v>
      </c>
    </row>
    <row r="22" spans="1:16" x14ac:dyDescent="0.25">
      <c r="A22" s="6"/>
      <c r="C22" s="1"/>
      <c r="D22" s="11"/>
      <c r="G22" s="15" t="s">
        <v>269</v>
      </c>
      <c r="H22" s="16"/>
      <c r="I22" s="16"/>
      <c r="J22" s="16"/>
      <c r="K22" s="15" t="str">
        <f>IF($FA$2=1,"Plan 23 Flush In",IF($FA$2=2,"Buffer Inlet Temp.","Barrier Inlet Temp."))</f>
        <v>Barrier Inlet Temp.</v>
      </c>
      <c r="L22" s="16"/>
      <c r="M22" s="16"/>
      <c r="N22" s="16"/>
      <c r="O22" s="15" t="s">
        <v>73</v>
      </c>
    </row>
    <row r="23" spans="1:16" x14ac:dyDescent="0.25">
      <c r="A23" s="6"/>
      <c r="C23" s="1"/>
      <c r="D23" s="11"/>
      <c r="G23" s="15" t="s">
        <v>270</v>
      </c>
      <c r="H23" s="16"/>
      <c r="I23" s="16"/>
      <c r="J23" s="16"/>
      <c r="K23" s="15" t="str">
        <f>IF($FA$2=1,"Plan 23 Flush Out",IF($FA$2=2,"Buffer Outlet Temp.","Barrier Outlet Temp."))</f>
        <v>Barrier Outlet Temp.</v>
      </c>
      <c r="L23" s="16"/>
      <c r="M23" s="16"/>
      <c r="N23" s="16"/>
      <c r="O23" s="15" t="s">
        <v>74</v>
      </c>
    </row>
    <row r="24" spans="1:16" x14ac:dyDescent="0.25">
      <c r="A24" s="6"/>
      <c r="C24" s="1"/>
      <c r="D24" s="11"/>
      <c r="G24" s="15" t="s">
        <v>271</v>
      </c>
      <c r="H24" s="16"/>
      <c r="I24" s="16"/>
      <c r="J24" s="16"/>
      <c r="K24" s="15" t="str">
        <f>IF($FA$2=1,"Plan 23 Flow",IF($FA$2=2,"Buffer Flow","Barrier Flow"))</f>
        <v>Barrier Flow</v>
      </c>
      <c r="L24" s="16"/>
      <c r="M24" s="16"/>
      <c r="N24" s="16"/>
      <c r="O24" s="15" t="s">
        <v>75</v>
      </c>
    </row>
    <row r="25" spans="1:16" x14ac:dyDescent="0.25">
      <c r="A25" s="6"/>
      <c r="C25" s="1"/>
      <c r="D25" s="11"/>
    </row>
  </sheetData>
  <sheetProtection formatCells="0" selectLockedCells="1"/>
  <mergeCells count="15">
    <mergeCell ref="D6:E6"/>
    <mergeCell ref="N6:P6"/>
    <mergeCell ref="N15:P15"/>
    <mergeCell ref="H15:J15"/>
    <mergeCell ref="D9:P9"/>
    <mergeCell ref="H10:J10"/>
    <mergeCell ref="H11:J11"/>
    <mergeCell ref="H13:J13"/>
    <mergeCell ref="N10:P10"/>
    <mergeCell ref="D13:E13"/>
    <mergeCell ref="N11:P11"/>
    <mergeCell ref="N13:P13"/>
    <mergeCell ref="D7:P7"/>
    <mergeCell ref="H12:J12"/>
    <mergeCell ref="N12:P12"/>
  </mergeCells>
  <pageMargins left="0.7" right="0.7" top="0.75" bottom="0.75" header="0.3" footer="0.3"/>
  <pageSetup paperSize="9" scale="1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4" r:id="rId4" name="Button 12">
              <controlPr defaultSize="0" print="0" autoFill="0" autoPict="0" macro="[0]!Knop12_Klikken" altText="New">
                <anchor moveWithCells="1" sizeWithCells="1">
                  <from>
                    <xdr:col>9</xdr:col>
                    <xdr:colOff>514350</xdr:colOff>
                    <xdr:row>2</xdr:row>
                    <xdr:rowOff>66675</xdr:rowOff>
                  </from>
                  <to>
                    <xdr:col>11</xdr:col>
                    <xdr:colOff>190500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Knop13_Klikken">
                <anchor moveWithCells="1" sizeWithCells="1">
                  <from>
                    <xdr:col>12</xdr:col>
                    <xdr:colOff>581025</xdr:colOff>
                    <xdr:row>2</xdr:row>
                    <xdr:rowOff>66675</xdr:rowOff>
                  </from>
                  <to>
                    <xdr:col>14</xdr:col>
                    <xdr:colOff>257175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utton 14">
              <controlPr defaultSize="0" print="0" autoFill="0" autoPict="0" macro="[0]!Knop14_Klikken">
                <anchor moveWithCells="1" sizeWithCells="1">
                  <from>
                    <xdr:col>14</xdr:col>
                    <xdr:colOff>314325</xdr:colOff>
                    <xdr:row>2</xdr:row>
                    <xdr:rowOff>66675</xdr:rowOff>
                  </from>
                  <to>
                    <xdr:col>15</xdr:col>
                    <xdr:colOff>600075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Button15_Click">
                <anchor moveWithCells="1" sizeWithCells="1">
                  <from>
                    <xdr:col>11</xdr:col>
                    <xdr:colOff>247650</xdr:colOff>
                    <xdr:row>2</xdr:row>
                    <xdr:rowOff>66675</xdr:rowOff>
                  </from>
                  <to>
                    <xdr:col>12</xdr:col>
                    <xdr:colOff>533400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Option Button 16">
              <controlPr defaultSize="0" autoFill="0" autoLine="0" autoPict="0" macro="[0]!Keuzerondje16_Klikken">
                <anchor moveWithCells="1">
                  <from>
                    <xdr:col>2</xdr:col>
                    <xdr:colOff>457200</xdr:colOff>
                    <xdr:row>19</xdr:row>
                    <xdr:rowOff>171450</xdr:rowOff>
                  </from>
                  <to>
                    <xdr:col>4</xdr:col>
                    <xdr:colOff>600075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Option Button 19">
              <controlPr defaultSize="0" autoFill="0" autoLine="0" autoPict="0" macro="[0]!Keuzerondje19_Klikken">
                <anchor moveWithCells="1">
                  <from>
                    <xdr:col>2</xdr:col>
                    <xdr:colOff>457200</xdr:colOff>
                    <xdr:row>21</xdr:row>
                    <xdr:rowOff>76200</xdr:rowOff>
                  </from>
                  <to>
                    <xdr:col>4</xdr:col>
                    <xdr:colOff>600075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0" name="Option Button 20">
              <controlPr defaultSize="0" autoFill="0" autoLine="0" autoPict="0" macro="[0]!Input_Keuzerondje20_Klikken">
                <anchor moveWithCells="1">
                  <from>
                    <xdr:col>2</xdr:col>
                    <xdr:colOff>457200</xdr:colOff>
                    <xdr:row>22</xdr:row>
                    <xdr:rowOff>171450</xdr:rowOff>
                  </from>
                  <to>
                    <xdr:col>4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1" name="Check Box 22">
              <controlPr defaultSize="0" autoFill="0" autoLine="0" autoPict="0">
                <anchor moveWithCells="1">
                  <from>
                    <xdr:col>5</xdr:col>
                    <xdr:colOff>400050</xdr:colOff>
                    <xdr:row>20</xdr:row>
                    <xdr:rowOff>171450</xdr:rowOff>
                  </from>
                  <to>
                    <xdr:col>6</xdr:col>
                    <xdr:colOff>95250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2" name="Check Box 23">
              <controlPr defaultSize="0" autoFill="0" autoLine="0" autoPict="0">
                <anchor moveWithCells="1">
                  <from>
                    <xdr:col>5</xdr:col>
                    <xdr:colOff>400050</xdr:colOff>
                    <xdr:row>21</xdr:row>
                    <xdr:rowOff>171450</xdr:rowOff>
                  </from>
                  <to>
                    <xdr:col>6</xdr:col>
                    <xdr:colOff>95250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3" name="Check Box 24">
              <controlPr defaultSize="0" autoFill="0" autoLine="0" autoPict="0">
                <anchor moveWithCells="1">
                  <from>
                    <xdr:col>5</xdr:col>
                    <xdr:colOff>400050</xdr:colOff>
                    <xdr:row>22</xdr:row>
                    <xdr:rowOff>171450</xdr:rowOff>
                  </from>
                  <to>
                    <xdr:col>6</xdr:col>
                    <xdr:colOff>95250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4" name="Check Box 25">
              <controlPr defaultSize="0" autoFill="0" autoLine="0" autoPict="0">
                <anchor moveWithCells="1">
                  <from>
                    <xdr:col>9</xdr:col>
                    <xdr:colOff>400050</xdr:colOff>
                    <xdr:row>19</xdr:row>
                    <xdr:rowOff>171450</xdr:rowOff>
                  </from>
                  <to>
                    <xdr:col>10</xdr:col>
                    <xdr:colOff>95250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5" name="Check Box 26">
              <controlPr defaultSize="0" autoFill="0" autoLine="0" autoPict="0">
                <anchor moveWithCells="1">
                  <from>
                    <xdr:col>9</xdr:col>
                    <xdr:colOff>400050</xdr:colOff>
                    <xdr:row>20</xdr:row>
                    <xdr:rowOff>171450</xdr:rowOff>
                  </from>
                  <to>
                    <xdr:col>10</xdr:col>
                    <xdr:colOff>95250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6" name="Check Box 27">
              <controlPr defaultSize="0" autoFill="0" autoLine="0" autoPict="0">
                <anchor moveWithCells="1">
                  <from>
                    <xdr:col>9</xdr:col>
                    <xdr:colOff>400050</xdr:colOff>
                    <xdr:row>21</xdr:row>
                    <xdr:rowOff>171450</xdr:rowOff>
                  </from>
                  <to>
                    <xdr:col>10</xdr:col>
                    <xdr:colOff>95250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7" name="Check Box 28">
              <controlPr defaultSize="0" autoFill="0" autoLine="0" autoPict="0">
                <anchor moveWithCells="1">
                  <from>
                    <xdr:col>9</xdr:col>
                    <xdr:colOff>400050</xdr:colOff>
                    <xdr:row>22</xdr:row>
                    <xdr:rowOff>171450</xdr:rowOff>
                  </from>
                  <to>
                    <xdr:col>10</xdr:col>
                    <xdr:colOff>95250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8" name="Check Box 29">
              <controlPr defaultSize="0" autoFill="0" autoLine="0" autoPict="0">
                <anchor moveWithCells="1">
                  <from>
                    <xdr:col>13</xdr:col>
                    <xdr:colOff>400050</xdr:colOff>
                    <xdr:row>19</xdr:row>
                    <xdr:rowOff>171450</xdr:rowOff>
                  </from>
                  <to>
                    <xdr:col>14</xdr:col>
                    <xdr:colOff>95250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9" name="Check Box 30">
              <controlPr defaultSize="0" autoFill="0" autoLine="0" autoPict="0">
                <anchor moveWithCells="1">
                  <from>
                    <xdr:col>13</xdr:col>
                    <xdr:colOff>400050</xdr:colOff>
                    <xdr:row>20</xdr:row>
                    <xdr:rowOff>171450</xdr:rowOff>
                  </from>
                  <to>
                    <xdr:col>14</xdr:col>
                    <xdr:colOff>95250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20" name="Check Box 31">
              <controlPr defaultSize="0" autoFill="0" autoLine="0" autoPict="0">
                <anchor moveWithCells="1">
                  <from>
                    <xdr:col>13</xdr:col>
                    <xdr:colOff>400050</xdr:colOff>
                    <xdr:row>21</xdr:row>
                    <xdr:rowOff>171450</xdr:rowOff>
                  </from>
                  <to>
                    <xdr:col>14</xdr:col>
                    <xdr:colOff>95250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21" name="Check Box 32">
              <controlPr defaultSize="0" autoFill="0" autoLine="0" autoPict="0">
                <anchor moveWithCells="1">
                  <from>
                    <xdr:col>13</xdr:col>
                    <xdr:colOff>400050</xdr:colOff>
                    <xdr:row>22</xdr:row>
                    <xdr:rowOff>171450</xdr:rowOff>
                  </from>
                  <to>
                    <xdr:col>14</xdr:col>
                    <xdr:colOff>95250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22" name="Group Box 33">
              <controlPr defaultSize="0" autoFill="0" autoPict="0">
                <anchor moveWithCells="1">
                  <from>
                    <xdr:col>5</xdr:col>
                    <xdr:colOff>142875</xdr:colOff>
                    <xdr:row>19</xdr:row>
                    <xdr:rowOff>28575</xdr:rowOff>
                  </from>
                  <to>
                    <xdr:col>16</xdr:col>
                    <xdr:colOff>19050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23" name="Group Box 34">
              <controlPr defaultSize="0" autoFill="0" autoPict="0">
                <anchor moveWithCells="1">
                  <from>
                    <xdr:col>2</xdr:col>
                    <xdr:colOff>333375</xdr:colOff>
                    <xdr:row>19</xdr:row>
                    <xdr:rowOff>28575</xdr:rowOff>
                  </from>
                  <to>
                    <xdr:col>4</xdr:col>
                    <xdr:colOff>571500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24" name="Check Box 35">
              <controlPr defaultSize="0" autoFill="0" autoLine="0" autoPict="0">
                <anchor moveWithCells="1">
                  <from>
                    <xdr:col>5</xdr:col>
                    <xdr:colOff>400050</xdr:colOff>
                    <xdr:row>19</xdr:row>
                    <xdr:rowOff>171450</xdr:rowOff>
                  </from>
                  <to>
                    <xdr:col>6</xdr:col>
                    <xdr:colOff>95250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>
    <pageSetUpPr fitToPage="1"/>
  </sheetPr>
  <dimension ref="C1:HK31"/>
  <sheetViews>
    <sheetView zoomScaleNormal="100" zoomScalePageLayoutView="40" workbookViewId="0">
      <pane ySplit="4" topLeftCell="A5" activePane="bottomLeft" state="frozen"/>
      <selection pane="bottomLeft" activeCell="D9" sqref="D9:Q9 D10:I11 D13:D16 L10:Q11 H13:H16 L13:L16 L18 P13:P14 D18:F18 G21:G26 I21:I26 N21:N26 P21:P26 D28:P31"/>
    </sheetView>
  </sheetViews>
  <sheetFormatPr defaultColWidth="9.140625" defaultRowHeight="15" x14ac:dyDescent="0.25"/>
  <cols>
    <col min="1" max="1" width="10.7109375" style="1" customWidth="1"/>
    <col min="2" max="2" width="9.140625" style="1" customWidth="1"/>
    <col min="3" max="3" width="9.140625" style="11" customWidth="1"/>
    <col min="4" max="218" width="9.140625" style="1" customWidth="1"/>
    <col min="219" max="219" width="9.7109375" style="1" customWidth="1"/>
    <col min="220" max="16384" width="9.140625" style="1"/>
  </cols>
  <sheetData>
    <row r="1" spans="3:219" x14ac:dyDescent="0.25">
      <c r="EA1" s="10" t="s">
        <v>42</v>
      </c>
      <c r="EB1" s="10" t="s">
        <v>43</v>
      </c>
      <c r="EC1" s="10" t="s">
        <v>44</v>
      </c>
      <c r="ED1" s="10" t="s">
        <v>45</v>
      </c>
      <c r="EE1" s="10" t="s">
        <v>35</v>
      </c>
      <c r="EF1" s="10" t="s">
        <v>2</v>
      </c>
      <c r="EG1" s="10" t="s">
        <v>1</v>
      </c>
      <c r="EH1" s="10" t="s">
        <v>46</v>
      </c>
      <c r="EI1" s="10" t="s">
        <v>47</v>
      </c>
      <c r="EJ1" s="10" t="s">
        <v>16</v>
      </c>
      <c r="EK1" s="10" t="s">
        <v>48</v>
      </c>
      <c r="EL1" s="10" t="s">
        <v>11</v>
      </c>
      <c r="EM1" s="10" t="s">
        <v>10</v>
      </c>
      <c r="EN1" s="10" t="s">
        <v>12</v>
      </c>
      <c r="EO1" s="10" t="s">
        <v>0</v>
      </c>
      <c r="EP1" s="10" t="s">
        <v>22</v>
      </c>
      <c r="EQ1" s="10" t="s">
        <v>49</v>
      </c>
      <c r="ER1" s="10" t="s">
        <v>25</v>
      </c>
      <c r="ES1" s="10" t="s">
        <v>50</v>
      </c>
      <c r="ET1" s="10" t="s">
        <v>14</v>
      </c>
      <c r="EU1" s="10" t="s">
        <v>13</v>
      </c>
      <c r="EV1" s="10" t="s">
        <v>15</v>
      </c>
      <c r="EW1" s="10" t="s">
        <v>51</v>
      </c>
      <c r="EX1" s="10" t="s">
        <v>52</v>
      </c>
      <c r="EY1" s="10" t="s">
        <v>53</v>
      </c>
      <c r="EZ1" s="10" t="s">
        <v>54</v>
      </c>
      <c r="FA1" s="10" t="s">
        <v>55</v>
      </c>
      <c r="FB1" s="10" t="s">
        <v>56</v>
      </c>
      <c r="FC1" s="10" t="s">
        <v>57</v>
      </c>
      <c r="FD1" s="10" t="s">
        <v>58</v>
      </c>
      <c r="FE1" s="10" t="s">
        <v>59</v>
      </c>
      <c r="FF1" s="10" t="s">
        <v>60</v>
      </c>
      <c r="FG1" s="10" t="s">
        <v>61</v>
      </c>
      <c r="FH1" s="10" t="s">
        <v>62</v>
      </c>
      <c r="FI1" s="10" t="s">
        <v>63</v>
      </c>
      <c r="FJ1" s="10" t="s">
        <v>64</v>
      </c>
      <c r="FK1" s="10" t="s">
        <v>65</v>
      </c>
      <c r="FL1" s="10" t="s">
        <v>66</v>
      </c>
      <c r="FM1" s="10" t="s">
        <v>67</v>
      </c>
      <c r="FN1" s="10" t="s">
        <v>21</v>
      </c>
      <c r="FO1" s="10" t="s">
        <v>222</v>
      </c>
      <c r="FP1" s="10" t="s">
        <v>223</v>
      </c>
      <c r="FQ1" s="10" t="s">
        <v>224</v>
      </c>
      <c r="FR1" s="10" t="s">
        <v>225</v>
      </c>
      <c r="FS1" s="10" t="s">
        <v>68</v>
      </c>
      <c r="FT1" s="10" t="s">
        <v>23</v>
      </c>
      <c r="FU1" s="10" t="s">
        <v>24</v>
      </c>
      <c r="FV1" s="10" t="s">
        <v>69</v>
      </c>
      <c r="FW1" s="10" t="s">
        <v>26</v>
      </c>
      <c r="FX1" s="10" t="s">
        <v>27</v>
      </c>
      <c r="FY1" s="10" t="s">
        <v>28</v>
      </c>
      <c r="FZ1" s="10" t="s">
        <v>29</v>
      </c>
      <c r="GA1" s="10" t="s">
        <v>30</v>
      </c>
      <c r="GB1" s="10" t="s">
        <v>32</v>
      </c>
      <c r="GC1" s="10" t="s">
        <v>70</v>
      </c>
      <c r="GD1" s="10" t="s">
        <v>79</v>
      </c>
      <c r="GE1" s="10" t="s">
        <v>78</v>
      </c>
      <c r="GF1" s="10" t="s">
        <v>227</v>
      </c>
      <c r="GG1" s="10" t="s">
        <v>80</v>
      </c>
      <c r="GH1" s="10" t="s">
        <v>77</v>
      </c>
      <c r="GI1" s="10" t="s">
        <v>228</v>
      </c>
      <c r="GJ1" s="10" t="s">
        <v>31</v>
      </c>
      <c r="GK1" s="10" t="s">
        <v>33</v>
      </c>
      <c r="GL1" s="10" t="s">
        <v>71</v>
      </c>
      <c r="GM1" s="10" t="s">
        <v>92</v>
      </c>
      <c r="GN1" s="10" t="s">
        <v>90</v>
      </c>
      <c r="GO1" s="10" t="s">
        <v>226</v>
      </c>
      <c r="GP1" s="10" t="s">
        <v>93</v>
      </c>
      <c r="GQ1" s="10" t="s">
        <v>91</v>
      </c>
      <c r="GR1" s="10" t="s">
        <v>229</v>
      </c>
      <c r="GS1" s="10" t="s">
        <v>84</v>
      </c>
      <c r="GT1" s="10" t="s">
        <v>82</v>
      </c>
      <c r="GU1" s="10" t="s">
        <v>230</v>
      </c>
      <c r="GV1" s="10" t="s">
        <v>85</v>
      </c>
      <c r="GW1" s="10" t="s">
        <v>83</v>
      </c>
      <c r="GX1" s="10" t="s">
        <v>231</v>
      </c>
      <c r="GY1" s="10" t="s">
        <v>88</v>
      </c>
      <c r="GZ1" s="10" t="s">
        <v>86</v>
      </c>
      <c r="HA1" s="10" t="s">
        <v>232</v>
      </c>
      <c r="HB1" s="10" t="s">
        <v>89</v>
      </c>
      <c r="HC1" s="10" t="s">
        <v>87</v>
      </c>
      <c r="HD1" s="10" t="s">
        <v>233</v>
      </c>
      <c r="HE1" s="10" t="s">
        <v>76</v>
      </c>
      <c r="HF1" s="10" t="s">
        <v>189</v>
      </c>
      <c r="HG1" s="10" t="s">
        <v>191</v>
      </c>
      <c r="HH1" s="10" t="s">
        <v>192</v>
      </c>
      <c r="HI1" s="10" t="s">
        <v>193</v>
      </c>
      <c r="HJ1" s="10" t="s">
        <v>194</v>
      </c>
      <c r="HK1" s="10" t="s">
        <v>81</v>
      </c>
    </row>
    <row r="2" spans="3:219" x14ac:dyDescent="0.25">
      <c r="EA2" s="17" t="str">
        <f>EB2&amp;" Run: "&amp;EC2</f>
        <v>2026RSD03TL Run: 004</v>
      </c>
      <c r="EB2" s="17" t="str">
        <f>DataBase!EB2</f>
        <v>2026RSD03TL</v>
      </c>
      <c r="EC2" s="17" t="str">
        <f>DataBase!EC2</f>
        <v>004</v>
      </c>
      <c r="ED2" s="17" t="str">
        <f>DataBase!ED2</f>
        <v>ADNOC BAB UHTW/UHTW 4.750/4.750</v>
      </c>
      <c r="EE2" s="17" t="str">
        <f>DataBase!EE2</f>
        <v xml:space="preserve">• Test to reproduce 2023 test results (use 2023 sleeve and lower temperature (step by step))
• Install mechanical seals per F00321662 / D0527190-2 revB   
 - Use the job seal sleeve used for testing back in 2023
     - Old part code: C0618730NL   =   current part code: C100028091   =    part drawing F000893469
 - Install thermocouple at IB and OB seal stationary face.
• Pressurize to indicated pressure, measure break-out torque. Repeat torque measurements after 10 minutes.
• Start Test Unit
• Increase the temperature to 60°C at LBI (as per recent tests) and let it run for 100 hrs (119 till Monday morning ;-) )
• Decrease the temperature to 40°C at LBI and let it run for 100 hrs
• Stop test unit and measure break-out torque. Repeat torque measurements after 10 minutes.
• Post-test work Job and plug seal, required on stationary and rotating seal faces.
   - Waviness measurement on 1 location
   - Taper measurement on 2 locations
   - Roughness measurement
   - Profile measurement
</v>
      </c>
      <c r="EF2" s="17" t="str">
        <f>DataBase!EF2</f>
        <v>B</v>
      </c>
      <c r="EG2" s="17">
        <f>DataBase!EG2</f>
        <v>2980</v>
      </c>
      <c r="EH2" s="17" t="str">
        <f>DataBase!EH2</f>
        <v>MT</v>
      </c>
      <c r="EI2" s="17" t="str">
        <f>DataBase!EI2</f>
        <v>F00321662 / D0527190-2 revB</v>
      </c>
      <c r="EJ2" s="17" t="str">
        <f>DataBase!EJ2</f>
        <v>min 75</v>
      </c>
      <c r="EK2" s="17" t="str">
        <f>DataBase!EK2</f>
        <v>UHTW 4.750</v>
      </c>
      <c r="EL2" s="17" t="str">
        <f>DataBase!EL2</f>
        <v>C0618722SL</v>
      </c>
      <c r="EM2" s="17" t="str">
        <f>DataBase!EM2</f>
        <v>C0619339SL</v>
      </c>
      <c r="EN2" s="17" t="str">
        <f>DataBase!EN2</f>
        <v>668838NL (9)</v>
      </c>
      <c r="EO2" s="17" t="str">
        <f>DataBase!EO2</f>
        <v/>
      </c>
      <c r="EP2" s="17" t="str">
        <f>DataBase!EP2</f>
        <v/>
      </c>
      <c r="EQ2" s="17" t="str">
        <f>DataBase!EQ2</f>
        <v/>
      </c>
      <c r="ER2" s="17" t="str">
        <f>DataBase!ER2</f>
        <v/>
      </c>
      <c r="ES2" s="17" t="str">
        <f>DataBase!ES2</f>
        <v>UHTW 4.750</v>
      </c>
      <c r="ET2" s="17" t="str">
        <f>DataBase!ET2</f>
        <v>C0618722SL</v>
      </c>
      <c r="EU2" s="17" t="str">
        <f>DataBase!EU2</f>
        <v>C0618723SL</v>
      </c>
      <c r="EV2" s="17" t="str">
        <f>DataBase!EV2</f>
        <v>668838NL (10)</v>
      </c>
      <c r="EW2" s="17" t="str">
        <f>DataBase!EW2</f>
        <v>Water</v>
      </c>
      <c r="EX2" s="17">
        <f>DataBase!EX2</f>
        <v>70</v>
      </c>
      <c r="EY2" s="17" t="str">
        <f>DataBase!EY2</f>
        <v>60 - 40</v>
      </c>
      <c r="EZ2" s="17" t="str">
        <f>DataBase!EZ2</f>
        <v>TBD</v>
      </c>
      <c r="FA2" s="17">
        <f>DataBase!FA2</f>
        <v>3</v>
      </c>
      <c r="FB2" s="17" t="b">
        <f>DataBase!FB2</f>
        <v>0</v>
      </c>
      <c r="FC2" s="17" t="b">
        <f>DataBase!FC2</f>
        <v>0</v>
      </c>
      <c r="FD2" s="17" t="b">
        <f>DataBase!FD2</f>
        <v>0</v>
      </c>
      <c r="FE2" s="17" t="b">
        <f>DataBase!FE2</f>
        <v>0</v>
      </c>
      <c r="FF2" s="17" t="b">
        <f>DataBase!FF2</f>
        <v>1</v>
      </c>
      <c r="FG2" s="17" t="b">
        <f>DataBase!FG2</f>
        <v>1</v>
      </c>
      <c r="FH2" s="17" t="b">
        <f>DataBase!FH2</f>
        <v>1</v>
      </c>
      <c r="FI2" s="17" t="b">
        <f>DataBase!FI2</f>
        <v>1</v>
      </c>
      <c r="FJ2" s="17" t="b">
        <f>DataBase!FJ2</f>
        <v>1</v>
      </c>
      <c r="FK2" s="17" t="b">
        <f>DataBase!FK2</f>
        <v>1</v>
      </c>
      <c r="FL2" s="17" t="b">
        <f>DataBase!FL2</f>
        <v>1</v>
      </c>
      <c r="FM2" s="17" t="b">
        <f>DataBase!FM2</f>
        <v>1</v>
      </c>
      <c r="FN2" s="17" t="str">
        <f>IF(D9="","",D9)</f>
        <v/>
      </c>
      <c r="FO2" s="17" t="str">
        <f>IF(D10="","",D10)</f>
        <v/>
      </c>
      <c r="FP2" s="17" t="str">
        <f>IF(D11="","",D11)</f>
        <v/>
      </c>
      <c r="FQ2" s="17" t="str">
        <f>IF(L10="","",L10)</f>
        <v/>
      </c>
      <c r="FR2" s="17" t="str">
        <f>IF(L11="","",L11)</f>
        <v/>
      </c>
      <c r="FS2" s="17" t="str">
        <f>IF(D13="","",D13)</f>
        <v/>
      </c>
      <c r="FT2" s="17" t="str">
        <f>IF(D14="","",D14)</f>
        <v/>
      </c>
      <c r="FU2" s="17" t="str">
        <f>IF(D15="","",D15)</f>
        <v/>
      </c>
      <c r="FV2" s="17" t="str">
        <f>IF(D16="","",D16)</f>
        <v/>
      </c>
      <c r="FW2" s="17" t="str">
        <f>IF(H13="","",H13)</f>
        <v/>
      </c>
      <c r="FX2" s="17" t="str">
        <f>IF(H14="","",H14)</f>
        <v/>
      </c>
      <c r="FY2" s="17" t="str">
        <f>IF(H15="","",H15)</f>
        <v/>
      </c>
      <c r="FZ2" s="17" t="str">
        <f>IF(H16="","",H16)</f>
        <v/>
      </c>
      <c r="GA2" s="17" t="str">
        <f>IF(L13="","",L13)</f>
        <v/>
      </c>
      <c r="GB2" s="17" t="str">
        <f>IF(L15="","",L15)</f>
        <v/>
      </c>
      <c r="GC2" s="17" t="str">
        <f>IF(P13="","",P13)</f>
        <v/>
      </c>
      <c r="GD2" s="17" t="str">
        <f>IF(G21="","",G21)</f>
        <v/>
      </c>
      <c r="GE2" s="17" t="str">
        <f>IF(G22="","",G22)</f>
        <v/>
      </c>
      <c r="GF2" s="17" t="str">
        <f>IF(G23="","",G23)</f>
        <v/>
      </c>
      <c r="GG2" s="17" t="str">
        <f>IF(G24="","",G24)</f>
        <v/>
      </c>
      <c r="GH2" s="17" t="str">
        <f>IF(G25="","",G25)</f>
        <v/>
      </c>
      <c r="GI2" s="17" t="str">
        <f>IF(G26="","",G26)</f>
        <v/>
      </c>
      <c r="GJ2" s="17" t="str">
        <f>IF(L14="","",L14)</f>
        <v/>
      </c>
      <c r="GK2" s="17" t="str">
        <f>IF(L16="","",L16)</f>
        <v/>
      </c>
      <c r="GL2" s="17" t="str">
        <f>IF(P14="","",P14)</f>
        <v/>
      </c>
      <c r="GM2" s="17" t="str">
        <f>IF(I21="","",I21)</f>
        <v/>
      </c>
      <c r="GN2" s="17" t="str">
        <f>IF(I22="","",I22)</f>
        <v/>
      </c>
      <c r="GO2" s="17" t="str">
        <f>IF(I23="","",I23)</f>
        <v/>
      </c>
      <c r="GP2" s="17" t="str">
        <f>IF(I24="","",I24)</f>
        <v/>
      </c>
      <c r="GQ2" s="17" t="str">
        <f>IF(I25="","",I25)</f>
        <v/>
      </c>
      <c r="GR2" s="17" t="str">
        <f>IF(I26="","",I26)</f>
        <v/>
      </c>
      <c r="GS2" s="17" t="str">
        <f>IF(N21="","",N21)</f>
        <v/>
      </c>
      <c r="GT2" s="17" t="str">
        <f>IF(N22="","",N22)</f>
        <v/>
      </c>
      <c r="GU2" s="17" t="str">
        <f>IF(N23="","",N23)</f>
        <v/>
      </c>
      <c r="GV2" s="17" t="str">
        <f>IF(N24="","",N24)</f>
        <v/>
      </c>
      <c r="GW2" s="17" t="str">
        <f>IF(N25="","",N25)</f>
        <v/>
      </c>
      <c r="GX2" s="17" t="str">
        <f>IF(N26="","",N26)</f>
        <v/>
      </c>
      <c r="GY2" s="17" t="str">
        <f>IF(P21="","",P21)</f>
        <v/>
      </c>
      <c r="GZ2" s="17" t="str">
        <f>IF(P22="","",P22)</f>
        <v/>
      </c>
      <c r="HA2" s="17" t="str">
        <f>IF(P23="","",P23)</f>
        <v/>
      </c>
      <c r="HB2" s="17" t="str">
        <f>IF(P24="","",P24)</f>
        <v/>
      </c>
      <c r="HC2" s="17" t="str">
        <f>IF(P25="","",P25)</f>
        <v/>
      </c>
      <c r="HD2" s="17" t="str">
        <f>IF(P26="","",P26)</f>
        <v/>
      </c>
      <c r="HE2" s="17" t="str">
        <f>IF(D18="","",D18)</f>
        <v/>
      </c>
      <c r="HF2" s="17" t="str">
        <f>IF(L18="","",L18)</f>
        <v/>
      </c>
      <c r="HG2" s="17" t="str">
        <f>IF(D28="","",D28)</f>
        <v/>
      </c>
      <c r="HH2" s="17" t="str">
        <f>IF(D29="","",D29)</f>
        <v/>
      </c>
      <c r="HI2" s="17" t="str">
        <f>IF(D30="","",D30)</f>
        <v/>
      </c>
      <c r="HJ2" s="17" t="str">
        <f>IF(D31="","",D31)</f>
        <v/>
      </c>
      <c r="HK2" s="52">
        <f>IF(DataBase!HK2="","",DataBase!HK2)</f>
        <v>46240</v>
      </c>
    </row>
    <row r="4" spans="3:219" x14ac:dyDescent="0.25">
      <c r="F4" s="12"/>
    </row>
    <row r="6" spans="3:219" x14ac:dyDescent="0.25">
      <c r="C6" s="11" t="s">
        <v>4</v>
      </c>
      <c r="D6" s="75" t="str">
        <f>DataBase!EB2</f>
        <v>2026RSD03TL</v>
      </c>
      <c r="E6" s="75"/>
    </row>
    <row r="7" spans="3:219" x14ac:dyDescent="0.25">
      <c r="C7" s="11" t="s">
        <v>5</v>
      </c>
      <c r="D7" s="18" t="str">
        <f>DataBase!EC2</f>
        <v>004</v>
      </c>
      <c r="G7" s="11"/>
      <c r="H7" s="11"/>
      <c r="M7" s="11" t="s">
        <v>18</v>
      </c>
      <c r="N7" s="75" t="str">
        <f>DataBase!EI2</f>
        <v>F00321662 / D0527190-2 revB</v>
      </c>
      <c r="O7" s="75"/>
      <c r="P7" s="75"/>
      <c r="Q7" s="75"/>
    </row>
    <row r="9" spans="3:219" ht="30" customHeight="1" x14ac:dyDescent="0.25">
      <c r="C9" s="13" t="s">
        <v>19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</row>
    <row r="10" spans="3:219" ht="30" customHeight="1" x14ac:dyDescent="0.25">
      <c r="C10" s="13" t="str">
        <f>IF($FA$2=1,"PS Stationary Face: ","IB Stationary Face: ")</f>
        <v xml:space="preserve">IB Stationary Face: </v>
      </c>
      <c r="D10" s="74"/>
      <c r="E10" s="74"/>
      <c r="F10" s="74"/>
      <c r="G10" s="74"/>
      <c r="H10" s="74"/>
      <c r="I10" s="74"/>
      <c r="K10" s="13" t="str">
        <f>IF($FA$2=1,"TS Stationary Face: ","OB Stationary Face: ")</f>
        <v xml:space="preserve">OB Stationary Face: </v>
      </c>
      <c r="L10" s="74"/>
      <c r="M10" s="74"/>
      <c r="N10" s="74"/>
      <c r="O10" s="74"/>
      <c r="P10" s="74"/>
      <c r="Q10" s="74"/>
    </row>
    <row r="11" spans="3:219" ht="30" customHeight="1" x14ac:dyDescent="0.25">
      <c r="C11" s="13" t="str">
        <f>IF($FA$2=1,"PS Rotating Face: ","IB Rotating Face: ")</f>
        <v xml:space="preserve">IB Rotating Face: </v>
      </c>
      <c r="D11" s="74"/>
      <c r="E11" s="74"/>
      <c r="F11" s="74"/>
      <c r="G11" s="74"/>
      <c r="H11" s="74"/>
      <c r="I11" s="74"/>
      <c r="K11" s="13" t="str">
        <f>IF($FA$2=1,"TS Rotating Face: ","OB Rotating Face: ")</f>
        <v xml:space="preserve">OB Rotating Face: </v>
      </c>
      <c r="L11" s="74"/>
      <c r="M11" s="74"/>
      <c r="N11" s="74"/>
      <c r="O11" s="74"/>
      <c r="P11" s="74"/>
      <c r="Q11" s="74"/>
    </row>
    <row r="12" spans="3:219" x14ac:dyDescent="0.25">
      <c r="G12" s="11"/>
      <c r="H12" s="11"/>
      <c r="I12" s="11"/>
      <c r="J12" s="11"/>
      <c r="M12" s="11"/>
      <c r="N12" s="11"/>
      <c r="O12" s="11"/>
      <c r="P12" s="11"/>
    </row>
    <row r="13" spans="3:219" x14ac:dyDescent="0.25">
      <c r="C13" s="11" t="s">
        <v>265</v>
      </c>
      <c r="D13" s="5"/>
      <c r="E13" s="1" t="str">
        <f>IF(D13="","","BarG")</f>
        <v/>
      </c>
      <c r="G13" s="11" t="str">
        <f>IF(FA2=1,"Plan 23 Pressure: ",IF(FA2=2,"Buffer Pressure: ","Barrier Pressure: "))</f>
        <v xml:space="preserve">Barrier Pressure: </v>
      </c>
      <c r="H13" s="21"/>
      <c r="I13" s="1" t="str">
        <f>IF(H13="","","BarG")</f>
        <v/>
      </c>
      <c r="K13" s="11" t="str">
        <f>IF($FA$2=1,"Plug Seal Leakage: ","IB Seal Leakage: ")</f>
        <v xml:space="preserve">IB Seal Leakage: </v>
      </c>
      <c r="L13" s="5"/>
      <c r="M13" s="1" t="str">
        <f>IF(L13="","","ml/hr")</f>
        <v/>
      </c>
      <c r="O13" s="11" t="str">
        <f>IF($FA$2=1,"Plug Seal Wear: ","IB Seal Wear: ")</f>
        <v xml:space="preserve">IB Seal Wear: </v>
      </c>
      <c r="P13" s="59"/>
      <c r="Q13" s="1" t="str">
        <f>IF(P13="","","µm/hr")</f>
        <v/>
      </c>
    </row>
    <row r="14" spans="3:219" x14ac:dyDescent="0.25">
      <c r="C14" s="11" t="s">
        <v>272</v>
      </c>
      <c r="D14" s="5"/>
      <c r="E14" s="1" t="str">
        <f>IF(D14="","","°C")</f>
        <v/>
      </c>
      <c r="G14" s="11" t="str">
        <f>IF(FA2=1,"Plan 23 Inlet Temp.: ",IF(FA2=2,"Buffer Inlet Temp.: ","Barrier Inlet Temp.: "))</f>
        <v xml:space="preserve">Barrier Inlet Temp.: </v>
      </c>
      <c r="H14" s="21"/>
      <c r="I14" s="1" t="str">
        <f>IF(H14="","","°C")</f>
        <v/>
      </c>
      <c r="K14" s="11" t="str">
        <f>IF($FA$2=1,"Test Seal Leakage: ","OB Seal Leakage: ")</f>
        <v xml:space="preserve">OB Seal Leakage: </v>
      </c>
      <c r="L14" s="5"/>
      <c r="M14" s="1" t="str">
        <f>IF(L14="","","ml/hr")</f>
        <v/>
      </c>
      <c r="O14" s="11" t="str">
        <f>IF($FA$2=1,"Test Seal Wear: ","OB Seal Wear: ")</f>
        <v xml:space="preserve">OB Seal Wear: </v>
      </c>
      <c r="P14" s="60"/>
      <c r="Q14" s="1" t="str">
        <f>IF(P14="","","µm/hr")</f>
        <v/>
      </c>
    </row>
    <row r="15" spans="3:219" x14ac:dyDescent="0.25">
      <c r="C15" s="11" t="s">
        <v>273</v>
      </c>
      <c r="D15" s="5"/>
      <c r="E15" s="1" t="str">
        <f>IF(D15="","","°C")</f>
        <v/>
      </c>
      <c r="G15" s="11" t="str">
        <f>IF(FA2=1,"Plan 23 Outlet Temp.: ",IF(FA2=2,"Buffer Outlet Temp.: ","Barrier Outlet Temp.: "))</f>
        <v xml:space="preserve">Barrier Outlet Temp.: </v>
      </c>
      <c r="H15" s="21"/>
      <c r="I15" s="1" t="str">
        <f>IF(H15="","","°C")</f>
        <v/>
      </c>
      <c r="K15" s="11" t="str">
        <f>IF($FA$2=1,"PS Face Temp.: ","IB Face Temp.: ")</f>
        <v xml:space="preserve">IB Face Temp.: </v>
      </c>
      <c r="L15" s="5"/>
      <c r="M15" s="1" t="str">
        <f>IF(L15="","","°C")</f>
        <v/>
      </c>
      <c r="O15" s="11"/>
    </row>
    <row r="16" spans="3:219" x14ac:dyDescent="0.25">
      <c r="C16" s="11" t="s">
        <v>267</v>
      </c>
      <c r="D16" s="5"/>
      <c r="E16" s="1" t="str">
        <f>IF(D16="","","l/min")</f>
        <v/>
      </c>
      <c r="G16" s="11" t="str">
        <f>IF(FA2=1,"Plan 23 Flow: ",IF(FA2=2,"Buffer Flow: ","Barrier Flow: "))</f>
        <v xml:space="preserve">Barrier Flow: </v>
      </c>
      <c r="H16" s="21"/>
      <c r="I16" s="1" t="str">
        <f>IF(H16="","","l/min")</f>
        <v/>
      </c>
      <c r="K16" s="11" t="str">
        <f>IF($FA$2=1,"PS Face Temp.: ","OB Face Temp.: ")</f>
        <v xml:space="preserve">OB Face Temp.: </v>
      </c>
      <c r="L16" s="5"/>
      <c r="M16" s="1" t="str">
        <f>IF(L16="","","°C")</f>
        <v/>
      </c>
      <c r="O16" s="11"/>
    </row>
    <row r="17" spans="3:17" x14ac:dyDescent="0.25">
      <c r="G17" s="11"/>
      <c r="H17" s="11"/>
      <c r="M17" s="11"/>
    </row>
    <row r="18" spans="3:17" x14ac:dyDescent="0.25">
      <c r="C18" s="11" t="s">
        <v>9</v>
      </c>
      <c r="D18" s="73"/>
      <c r="E18" s="73"/>
      <c r="F18" s="73"/>
      <c r="K18" s="11" t="s">
        <v>17</v>
      </c>
      <c r="L18" s="61"/>
      <c r="M18" s="1" t="str">
        <f>IF(L18="",""," hours")</f>
        <v/>
      </c>
    </row>
    <row r="20" spans="3:17" x14ac:dyDescent="0.25">
      <c r="C20" s="1"/>
      <c r="G20" s="20" t="str">
        <f>IF($FA$2=1,"Plug Seal","Inboard Seal")</f>
        <v>Inboard Seal</v>
      </c>
      <c r="I20" s="20" t="str">
        <f>IF($FA$2=1,"Test Seal","Outboard Seal")</f>
        <v>Outboard Seal</v>
      </c>
      <c r="M20" s="11"/>
      <c r="N20" s="20" t="str">
        <f>IF($FA$2=1,"Plug Seal","Inboard Seal")</f>
        <v>Inboard Seal</v>
      </c>
      <c r="P20" s="20" t="str">
        <f>IF($FA$2=1,"Test Seal","Outboard Seal")</f>
        <v>Outboard Seal</v>
      </c>
    </row>
    <row r="21" spans="3:17" x14ac:dyDescent="0.25">
      <c r="C21" s="1"/>
      <c r="F21" s="11" t="s">
        <v>95</v>
      </c>
      <c r="G21" s="17"/>
      <c r="H21" s="1" t="str">
        <f>IF(G21="","","µm")</f>
        <v/>
      </c>
      <c r="I21" s="17"/>
      <c r="J21" s="1" t="str">
        <f t="shared" ref="J21:J26" si="0">IF(I21="","","µm")</f>
        <v/>
      </c>
      <c r="M21" s="11" t="s">
        <v>95</v>
      </c>
      <c r="N21" s="17"/>
      <c r="O21" s="1" t="str">
        <f t="shared" ref="O21:O26" si="1">IF(N21="","","µm")</f>
        <v/>
      </c>
      <c r="P21" s="17"/>
      <c r="Q21" s="1" t="str">
        <f t="shared" ref="Q21:Q26" si="2">IF(P21="","","µm")</f>
        <v/>
      </c>
    </row>
    <row r="22" spans="3:17" x14ac:dyDescent="0.25">
      <c r="C22" s="1"/>
      <c r="F22" s="11" t="s">
        <v>96</v>
      </c>
      <c r="G22" s="19"/>
      <c r="H22" s="1" t="str">
        <f t="shared" ref="H22:H26" si="3">IF(G22="","","µm")</f>
        <v/>
      </c>
      <c r="I22" s="19"/>
      <c r="J22" s="1" t="str">
        <f t="shared" si="0"/>
        <v/>
      </c>
      <c r="M22" s="11" t="s">
        <v>96</v>
      </c>
      <c r="N22" s="19"/>
      <c r="O22" s="1" t="str">
        <f t="shared" si="1"/>
        <v/>
      </c>
      <c r="P22" s="19"/>
      <c r="Q22" s="1" t="str">
        <f t="shared" si="2"/>
        <v/>
      </c>
    </row>
    <row r="23" spans="3:17" x14ac:dyDescent="0.25">
      <c r="C23" s="1"/>
      <c r="F23" s="11" t="s">
        <v>221</v>
      </c>
      <c r="G23" s="19"/>
      <c r="H23" s="1" t="str">
        <f>IF(G23="","","µm")</f>
        <v/>
      </c>
      <c r="I23" s="19"/>
      <c r="J23" s="1" t="str">
        <f t="shared" si="0"/>
        <v/>
      </c>
      <c r="M23" s="11" t="s">
        <v>221</v>
      </c>
      <c r="N23" s="19"/>
      <c r="O23" s="1" t="str">
        <f t="shared" si="1"/>
        <v/>
      </c>
      <c r="P23" s="19"/>
      <c r="Q23" s="1" t="str">
        <f t="shared" si="2"/>
        <v/>
      </c>
    </row>
    <row r="24" spans="3:17" x14ac:dyDescent="0.25">
      <c r="F24" s="11" t="s">
        <v>97</v>
      </c>
      <c r="G24" s="17"/>
      <c r="H24" s="1" t="str">
        <f t="shared" si="3"/>
        <v/>
      </c>
      <c r="I24" s="17"/>
      <c r="J24" s="1" t="str">
        <f t="shared" si="0"/>
        <v/>
      </c>
      <c r="M24" s="11" t="s">
        <v>97</v>
      </c>
      <c r="N24" s="17"/>
      <c r="O24" s="1" t="str">
        <f t="shared" si="1"/>
        <v/>
      </c>
      <c r="P24" s="17"/>
      <c r="Q24" s="1" t="str">
        <f t="shared" si="2"/>
        <v/>
      </c>
    </row>
    <row r="25" spans="3:17" x14ac:dyDescent="0.25">
      <c r="F25" s="11" t="s">
        <v>98</v>
      </c>
      <c r="G25" s="19"/>
      <c r="H25" s="1" t="str">
        <f t="shared" si="3"/>
        <v/>
      </c>
      <c r="I25" s="19"/>
      <c r="J25" s="1" t="str">
        <f t="shared" si="0"/>
        <v/>
      </c>
      <c r="M25" s="11" t="s">
        <v>98</v>
      </c>
      <c r="N25" s="19"/>
      <c r="O25" s="1" t="str">
        <f t="shared" si="1"/>
        <v/>
      </c>
      <c r="P25" s="19"/>
      <c r="Q25" s="1" t="str">
        <f t="shared" si="2"/>
        <v/>
      </c>
    </row>
    <row r="26" spans="3:17" x14ac:dyDescent="0.25">
      <c r="F26" s="11" t="s">
        <v>220</v>
      </c>
      <c r="G26" s="19"/>
      <c r="H26" s="1" t="str">
        <f t="shared" si="3"/>
        <v/>
      </c>
      <c r="I26" s="19"/>
      <c r="J26" s="1" t="str">
        <f t="shared" si="0"/>
        <v/>
      </c>
      <c r="M26" s="11" t="s">
        <v>220</v>
      </c>
      <c r="N26" s="19"/>
      <c r="O26" s="1" t="str">
        <f t="shared" si="1"/>
        <v/>
      </c>
      <c r="P26" s="19"/>
      <c r="Q26" s="1" t="str">
        <f t="shared" si="2"/>
        <v/>
      </c>
    </row>
    <row r="27" spans="3:17" x14ac:dyDescent="0.25">
      <c r="D27" s="1" t="s">
        <v>3</v>
      </c>
    </row>
    <row r="28" spans="3:17" x14ac:dyDescent="0.25">
      <c r="C28" s="11" t="str">
        <f>IF($FA$2=1,"Plug Seal SF Photograph: ","IB Stationary Face Photograph: ")</f>
        <v xml:space="preserve">IB Stationary Face Photograph: </v>
      </c>
      <c r="D28" s="70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2"/>
    </row>
    <row r="29" spans="3:17" x14ac:dyDescent="0.25">
      <c r="C29" s="11" t="str">
        <f>IF($FA$2=1,"Plug Seal RF Photograph: ","IB Rotating Face Photograph: ")</f>
        <v xml:space="preserve">IB Rotating Face Photograph: </v>
      </c>
      <c r="D29" s="70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2"/>
    </row>
    <row r="30" spans="3:17" x14ac:dyDescent="0.25">
      <c r="C30" s="11" t="str">
        <f>IF($FA$2=1,"Test Seal SF Photograph: ","OB Stationary Face Photograph: ")</f>
        <v xml:space="preserve">OB Stationary Face Photograph: </v>
      </c>
      <c r="D30" s="70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2"/>
    </row>
    <row r="31" spans="3:17" x14ac:dyDescent="0.25">
      <c r="C31" s="11" t="str">
        <f>IF($FA$2=1,"Test Seal RF Photograph: ","OB Rotating Face Photograph: ")</f>
        <v xml:space="preserve">OB Rotating Face Photograph: </v>
      </c>
      <c r="D31" s="70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2"/>
    </row>
  </sheetData>
  <sheetProtection formatCells="0" selectLockedCells="1"/>
  <mergeCells count="12">
    <mergeCell ref="D6:E6"/>
    <mergeCell ref="D9:Q9"/>
    <mergeCell ref="N7:Q7"/>
    <mergeCell ref="D10:I10"/>
    <mergeCell ref="L10:Q10"/>
    <mergeCell ref="D31:P31"/>
    <mergeCell ref="D18:F18"/>
    <mergeCell ref="D11:I11"/>
    <mergeCell ref="L11:Q11"/>
    <mergeCell ref="D28:P28"/>
    <mergeCell ref="D29:P29"/>
    <mergeCell ref="D30:P30"/>
  </mergeCells>
  <pageMargins left="0.7" right="0.7" top="0.75" bottom="0.75" header="0.3" footer="0.3"/>
  <pageSetup paperSize="9" scale="10" orientation="landscape" r:id="rId1"/>
  <ignoredErrors>
    <ignoredError sqref="E15:F15 E14:F14 E13:F13 E16:F16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4" name="Button 8">
              <controlPr defaultSize="0" print="0" autoFill="0" autoPict="0" macro="[0]!Results_Knop8_Klikken">
                <anchor moveWithCells="1" sizeWithCells="1">
                  <from>
                    <xdr:col>13</xdr:col>
                    <xdr:colOff>590550</xdr:colOff>
                    <xdr:row>2</xdr:row>
                    <xdr:rowOff>76200</xdr:rowOff>
                  </from>
                  <to>
                    <xdr:col>15</xdr:col>
                    <xdr:colOff>266700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5" name="Button 9">
              <controlPr defaultSize="0" print="0" autoFill="0" autoPict="0" macro="[0]!Knop9_Klikken">
                <anchor moveWithCells="1" sizeWithCells="1">
                  <from>
                    <xdr:col>15</xdr:col>
                    <xdr:colOff>314325</xdr:colOff>
                    <xdr:row>2</xdr:row>
                    <xdr:rowOff>76200</xdr:rowOff>
                  </from>
                  <to>
                    <xdr:col>16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" name="Group Box 10">
              <controlPr defaultSize="0" autoFill="0" autoPict="0">
                <anchor moveWithCells="1">
                  <from>
                    <xdr:col>3</xdr:col>
                    <xdr:colOff>190500</xdr:colOff>
                    <xdr:row>18</xdr:row>
                    <xdr:rowOff>152400</xdr:rowOff>
                  </from>
                  <to>
                    <xdr:col>10</xdr:col>
                    <xdr:colOff>38100</xdr:colOff>
                    <xdr:row>26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7" name="Group Box 11">
              <controlPr defaultSize="0" autoFill="0" autoPict="0">
                <anchor moveWithCells="1">
                  <from>
                    <xdr:col>10</xdr:col>
                    <xdr:colOff>190500</xdr:colOff>
                    <xdr:row>18</xdr:row>
                    <xdr:rowOff>152400</xdr:rowOff>
                  </from>
                  <to>
                    <xdr:col>17</xdr:col>
                    <xdr:colOff>38100</xdr:colOff>
                    <xdr:row>26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Button 13">
              <controlPr defaultSize="0" print="0" autoFill="0" autoPict="0" macro="[0]!Results_Knop13_Klikken">
                <anchor moveWithCells="1" sizeWithCells="1">
                  <from>
                    <xdr:col>16</xdr:col>
                    <xdr:colOff>9525</xdr:colOff>
                    <xdr:row>27</xdr:row>
                    <xdr:rowOff>9525</xdr:rowOff>
                  </from>
                  <to>
                    <xdr:col>16</xdr:col>
                    <xdr:colOff>409575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9" name="Button 14">
              <controlPr defaultSize="0" print="0" autoFill="0" autoPict="0" macro="[0]!Results_Knop14_Klikken">
                <anchor moveWithCells="1" sizeWithCells="1">
                  <from>
                    <xdr:col>16</xdr:col>
                    <xdr:colOff>9525</xdr:colOff>
                    <xdr:row>28</xdr:row>
                    <xdr:rowOff>9525</xdr:rowOff>
                  </from>
                  <to>
                    <xdr:col>16</xdr:col>
                    <xdr:colOff>409575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0" name="Button 15">
              <controlPr defaultSize="0" print="0" autoFill="0" autoPict="0" macro="[0]!Results_Knop15_Klikken">
                <anchor moveWithCells="1" sizeWithCells="1">
                  <from>
                    <xdr:col>16</xdr:col>
                    <xdr:colOff>9525</xdr:colOff>
                    <xdr:row>29</xdr:row>
                    <xdr:rowOff>9525</xdr:rowOff>
                  </from>
                  <to>
                    <xdr:col>16</xdr:col>
                    <xdr:colOff>409575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1" name="Button 16">
              <controlPr defaultSize="0" print="0" autoFill="0" autoPict="0" macro="[0]!Results_Knop16_Klikken">
                <anchor moveWithCells="1" sizeWithCells="1">
                  <from>
                    <xdr:col>16</xdr:col>
                    <xdr:colOff>9525</xdr:colOff>
                    <xdr:row>30</xdr:row>
                    <xdr:rowOff>9525</xdr:rowOff>
                  </from>
                  <to>
                    <xdr:col>16</xdr:col>
                    <xdr:colOff>409575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7">
    <pageSetUpPr fitToPage="1"/>
  </sheetPr>
  <dimension ref="A1:Y14"/>
  <sheetViews>
    <sheetView topLeftCell="J2" zoomScale="70" zoomScaleNormal="70" workbookViewId="0">
      <selection activeCell="R13" sqref="R13"/>
    </sheetView>
  </sheetViews>
  <sheetFormatPr defaultColWidth="9.140625" defaultRowHeight="15" x14ac:dyDescent="0.25"/>
  <cols>
    <col min="1" max="16384" width="9.140625" style="23"/>
  </cols>
  <sheetData>
    <row r="1" spans="1:25" ht="99.95" customHeight="1" x14ac:dyDescent="0.25">
      <c r="A1" s="28" t="s">
        <v>42</v>
      </c>
      <c r="B1" s="28" t="s">
        <v>43</v>
      </c>
      <c r="C1" s="28" t="s">
        <v>44</v>
      </c>
      <c r="D1" s="28" t="s">
        <v>45</v>
      </c>
      <c r="E1" s="28" t="s">
        <v>35</v>
      </c>
      <c r="F1" s="28" t="s">
        <v>2</v>
      </c>
      <c r="G1" s="28" t="s">
        <v>1</v>
      </c>
      <c r="H1" s="28" t="s">
        <v>46</v>
      </c>
      <c r="I1" s="28" t="s">
        <v>47</v>
      </c>
      <c r="J1" s="28" t="s">
        <v>16</v>
      </c>
      <c r="K1" s="28" t="s">
        <v>48</v>
      </c>
      <c r="L1" s="28" t="s">
        <v>11</v>
      </c>
      <c r="M1" s="28" t="s">
        <v>10</v>
      </c>
      <c r="N1" s="28" t="s">
        <v>12</v>
      </c>
      <c r="O1" s="28" t="s">
        <v>0</v>
      </c>
      <c r="P1" s="28" t="s">
        <v>22</v>
      </c>
      <c r="Q1" s="28" t="s">
        <v>49</v>
      </c>
      <c r="R1" s="28" t="s">
        <v>25</v>
      </c>
      <c r="S1" s="28" t="s">
        <v>50</v>
      </c>
      <c r="T1" s="28" t="s">
        <v>14</v>
      </c>
    </row>
    <row r="2" spans="1:25" x14ac:dyDescent="0.25">
      <c r="A2" s="24" t="s">
        <v>173</v>
      </c>
      <c r="B2" s="24" t="s">
        <v>172</v>
      </c>
      <c r="C2" s="24" t="s">
        <v>171</v>
      </c>
      <c r="D2" s="24" t="s">
        <v>170</v>
      </c>
      <c r="E2" s="24" t="s">
        <v>99</v>
      </c>
      <c r="F2" s="24" t="s">
        <v>169</v>
      </c>
      <c r="G2" s="24" t="s">
        <v>168</v>
      </c>
      <c r="H2" s="24" t="s">
        <v>167</v>
      </c>
      <c r="I2" s="24" t="s">
        <v>166</v>
      </c>
      <c r="J2" s="24" t="s">
        <v>165</v>
      </c>
      <c r="K2" s="24" t="s">
        <v>164</v>
      </c>
      <c r="L2" s="24" t="s">
        <v>163</v>
      </c>
      <c r="M2" s="24" t="s">
        <v>162</v>
      </c>
      <c r="N2" s="24" t="s">
        <v>161</v>
      </c>
      <c r="O2" s="24" t="s">
        <v>160</v>
      </c>
      <c r="P2" s="24" t="s">
        <v>159</v>
      </c>
      <c r="Q2" s="24" t="s">
        <v>158</v>
      </c>
      <c r="R2" s="24" t="s">
        <v>157</v>
      </c>
      <c r="S2" s="24" t="s">
        <v>156</v>
      </c>
      <c r="T2" s="24" t="s">
        <v>155</v>
      </c>
      <c r="U2" s="27"/>
    </row>
    <row r="3" spans="1:25" x14ac:dyDescent="0.2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</row>
    <row r="5" spans="1:25" ht="99.95" customHeight="1" x14ac:dyDescent="0.25">
      <c r="A5" s="25" t="s">
        <v>13</v>
      </c>
      <c r="B5" s="25" t="s">
        <v>15</v>
      </c>
      <c r="C5" s="25" t="s">
        <v>51</v>
      </c>
      <c r="D5" s="25" t="s">
        <v>52</v>
      </c>
      <c r="E5" s="25" t="s">
        <v>53</v>
      </c>
      <c r="F5" s="25" t="s">
        <v>54</v>
      </c>
      <c r="G5" s="25" t="s">
        <v>55</v>
      </c>
      <c r="H5" s="25" t="s">
        <v>56</v>
      </c>
      <c r="I5" s="25" t="s">
        <v>57</v>
      </c>
      <c r="J5" s="25" t="s">
        <v>58</v>
      </c>
      <c r="K5" s="25" t="s">
        <v>59</v>
      </c>
      <c r="L5" s="25" t="s">
        <v>60</v>
      </c>
      <c r="M5" s="25" t="s">
        <v>61</v>
      </c>
      <c r="N5" s="25" t="s">
        <v>62</v>
      </c>
      <c r="O5" s="25" t="s">
        <v>63</v>
      </c>
      <c r="P5" s="25" t="s">
        <v>64</v>
      </c>
      <c r="Q5" s="25" t="s">
        <v>65</v>
      </c>
      <c r="R5" s="25" t="s">
        <v>66</v>
      </c>
      <c r="S5" s="25" t="s">
        <v>67</v>
      </c>
      <c r="T5" s="25" t="s">
        <v>21</v>
      </c>
    </row>
    <row r="6" spans="1:25" x14ac:dyDescent="0.25">
      <c r="A6" s="24" t="s">
        <v>154</v>
      </c>
      <c r="B6" s="24" t="s">
        <v>153</v>
      </c>
      <c r="C6" s="24" t="s">
        <v>152</v>
      </c>
      <c r="D6" s="24" t="s">
        <v>151</v>
      </c>
      <c r="E6" s="24" t="s">
        <v>150</v>
      </c>
      <c r="F6" s="24" t="s">
        <v>149</v>
      </c>
      <c r="G6" s="24" t="s">
        <v>148</v>
      </c>
      <c r="H6" s="24" t="s">
        <v>147</v>
      </c>
      <c r="I6" s="24" t="s">
        <v>146</v>
      </c>
      <c r="J6" s="24" t="s">
        <v>145</v>
      </c>
      <c r="K6" s="24" t="s">
        <v>144</v>
      </c>
      <c r="L6" s="24" t="s">
        <v>100</v>
      </c>
      <c r="M6" s="24" t="s">
        <v>143</v>
      </c>
      <c r="N6" s="24" t="s">
        <v>142</v>
      </c>
      <c r="O6" s="24" t="s">
        <v>141</v>
      </c>
      <c r="P6" s="24" t="s">
        <v>140</v>
      </c>
      <c r="Q6" s="24" t="s">
        <v>139</v>
      </c>
      <c r="R6" s="24" t="s">
        <v>138</v>
      </c>
      <c r="S6" s="24" t="s">
        <v>137</v>
      </c>
      <c r="T6" s="24" t="s">
        <v>136</v>
      </c>
    </row>
    <row r="9" spans="1:25" ht="99.95" customHeight="1" x14ac:dyDescent="0.25">
      <c r="A9" s="25" t="s">
        <v>222</v>
      </c>
      <c r="B9" s="25" t="s">
        <v>223</v>
      </c>
      <c r="C9" s="25" t="s">
        <v>224</v>
      </c>
      <c r="D9" s="25" t="s">
        <v>225</v>
      </c>
      <c r="E9" s="25" t="s">
        <v>68</v>
      </c>
      <c r="F9" s="25" t="s">
        <v>23</v>
      </c>
      <c r="G9" s="25" t="s">
        <v>24</v>
      </c>
      <c r="H9" s="25" t="s">
        <v>69</v>
      </c>
      <c r="I9" s="25" t="s">
        <v>26</v>
      </c>
      <c r="J9" s="25" t="s">
        <v>27</v>
      </c>
      <c r="K9" s="25" t="s">
        <v>28</v>
      </c>
      <c r="L9" s="25" t="s">
        <v>29</v>
      </c>
      <c r="M9" s="25" t="s">
        <v>30</v>
      </c>
      <c r="N9" s="25" t="s">
        <v>32</v>
      </c>
      <c r="O9" s="25" t="s">
        <v>70</v>
      </c>
      <c r="P9" s="25" t="s">
        <v>79</v>
      </c>
      <c r="Q9" s="25" t="s">
        <v>78</v>
      </c>
      <c r="R9" s="25" t="s">
        <v>227</v>
      </c>
      <c r="S9" s="25" t="s">
        <v>80</v>
      </c>
      <c r="T9" s="25" t="s">
        <v>77</v>
      </c>
      <c r="U9" s="25" t="s">
        <v>228</v>
      </c>
      <c r="V9" s="25" t="s">
        <v>31</v>
      </c>
      <c r="W9" s="25" t="s">
        <v>33</v>
      </c>
      <c r="X9" s="25" t="s">
        <v>71</v>
      </c>
    </row>
    <row r="10" spans="1:25" x14ac:dyDescent="0.25">
      <c r="A10" s="24" t="s">
        <v>135</v>
      </c>
      <c r="B10" s="24" t="s">
        <v>134</v>
      </c>
      <c r="C10" s="24" t="s">
        <v>133</v>
      </c>
      <c r="D10" s="24" t="s">
        <v>132</v>
      </c>
      <c r="E10" s="24" t="s">
        <v>131</v>
      </c>
      <c r="F10" s="24" t="s">
        <v>130</v>
      </c>
      <c r="G10" s="24" t="s">
        <v>129</v>
      </c>
      <c r="H10" s="24" t="s">
        <v>128</v>
      </c>
      <c r="I10" s="24" t="s">
        <v>127</v>
      </c>
      <c r="J10" s="24" t="s">
        <v>126</v>
      </c>
      <c r="K10" s="24" t="s">
        <v>125</v>
      </c>
      <c r="L10" s="24" t="s">
        <v>124</v>
      </c>
      <c r="M10" s="24" t="s">
        <v>123</v>
      </c>
      <c r="N10" s="24" t="s">
        <v>122</v>
      </c>
      <c r="O10" s="24" t="s">
        <v>121</v>
      </c>
      <c r="P10" s="24" t="s">
        <v>120</v>
      </c>
      <c r="Q10" s="24" t="s">
        <v>119</v>
      </c>
      <c r="R10" s="24" t="s">
        <v>118</v>
      </c>
      <c r="S10" s="24" t="s">
        <v>101</v>
      </c>
      <c r="T10" s="24" t="s">
        <v>117</v>
      </c>
      <c r="U10" s="24" t="s">
        <v>116</v>
      </c>
      <c r="V10" s="24" t="s">
        <v>115</v>
      </c>
      <c r="W10" s="24" t="s">
        <v>114</v>
      </c>
      <c r="X10" s="24" t="s">
        <v>113</v>
      </c>
    </row>
    <row r="13" spans="1:25" ht="99.95" customHeight="1" x14ac:dyDescent="0.25">
      <c r="A13" s="25" t="s">
        <v>92</v>
      </c>
      <c r="B13" s="25" t="s">
        <v>90</v>
      </c>
      <c r="C13" s="25" t="s">
        <v>226</v>
      </c>
      <c r="D13" s="25" t="s">
        <v>93</v>
      </c>
      <c r="E13" s="25" t="s">
        <v>91</v>
      </c>
      <c r="F13" s="25" t="s">
        <v>229</v>
      </c>
      <c r="G13" s="25" t="s">
        <v>84</v>
      </c>
      <c r="H13" s="25" t="s">
        <v>82</v>
      </c>
      <c r="I13" s="25" t="s">
        <v>230</v>
      </c>
      <c r="J13" s="25" t="s">
        <v>85</v>
      </c>
      <c r="K13" s="25" t="s">
        <v>83</v>
      </c>
      <c r="L13" s="25" t="s">
        <v>231</v>
      </c>
      <c r="M13" s="25" t="s">
        <v>88</v>
      </c>
      <c r="N13" s="25" t="s">
        <v>86</v>
      </c>
      <c r="O13" s="25" t="s">
        <v>232</v>
      </c>
      <c r="P13" s="25" t="s">
        <v>89</v>
      </c>
      <c r="Q13" s="25" t="s">
        <v>87</v>
      </c>
      <c r="R13" s="25" t="s">
        <v>233</v>
      </c>
      <c r="S13" s="25" t="s">
        <v>76</v>
      </c>
      <c r="T13" s="25" t="s">
        <v>189</v>
      </c>
      <c r="U13" s="25" t="s">
        <v>191</v>
      </c>
      <c r="V13" s="25" t="s">
        <v>192</v>
      </c>
      <c r="W13" s="25" t="s">
        <v>193</v>
      </c>
      <c r="X13" s="25" t="s">
        <v>194</v>
      </c>
      <c r="Y13" s="25" t="s">
        <v>81</v>
      </c>
    </row>
    <row r="14" spans="1:25" x14ac:dyDescent="0.25">
      <c r="A14" s="24" t="s">
        <v>112</v>
      </c>
      <c r="B14" s="24" t="s">
        <v>111</v>
      </c>
      <c r="C14" s="24" t="s">
        <v>110</v>
      </c>
      <c r="D14" s="24" t="s">
        <v>109</v>
      </c>
      <c r="E14" s="24" t="s">
        <v>108</v>
      </c>
      <c r="F14" s="24" t="s">
        <v>107</v>
      </c>
      <c r="G14" s="24" t="s">
        <v>106</v>
      </c>
      <c r="H14" s="24" t="s">
        <v>105</v>
      </c>
      <c r="I14" s="24" t="s">
        <v>104</v>
      </c>
      <c r="J14" s="24" t="s">
        <v>103</v>
      </c>
      <c r="K14" s="24" t="s">
        <v>190</v>
      </c>
      <c r="L14" s="24" t="s">
        <v>195</v>
      </c>
      <c r="M14" s="24" t="s">
        <v>196</v>
      </c>
      <c r="N14" s="24" t="s">
        <v>197</v>
      </c>
      <c r="O14" s="24" t="s">
        <v>198</v>
      </c>
      <c r="P14" s="24" t="s">
        <v>234</v>
      </c>
      <c r="Q14" s="24" t="s">
        <v>235</v>
      </c>
      <c r="R14" s="24" t="s">
        <v>236</v>
      </c>
      <c r="S14" s="24" t="s">
        <v>237</v>
      </c>
      <c r="T14" s="24" t="s">
        <v>238</v>
      </c>
      <c r="U14" s="24" t="s">
        <v>239</v>
      </c>
      <c r="V14" s="24" t="s">
        <v>102</v>
      </c>
      <c r="W14" s="24" t="s">
        <v>240</v>
      </c>
      <c r="X14" s="24" t="s">
        <v>241</v>
      </c>
      <c r="Y14" s="24" t="s">
        <v>242</v>
      </c>
    </row>
  </sheetData>
  <pageMargins left="0.7" right="0.7" top="0.75" bottom="0.75" header="0.3" footer="0.3"/>
  <pageSetup paperSize="9" scale="55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8"/>
  <dimension ref="A1:K27"/>
  <sheetViews>
    <sheetView showGridLines="0" view="pageLayout" topLeftCell="A4" zoomScaleNormal="100" workbookViewId="0">
      <selection activeCell="K5" sqref="K5"/>
    </sheetView>
  </sheetViews>
  <sheetFormatPr defaultColWidth="9" defaultRowHeight="15" x14ac:dyDescent="0.25"/>
  <cols>
    <col min="1" max="1" width="4.42578125" style="2" customWidth="1"/>
    <col min="2" max="2" width="9" style="2"/>
    <col min="3" max="6" width="9" style="4"/>
    <col min="7" max="7" width="3.5703125" style="4" customWidth="1"/>
    <col min="8" max="8" width="9" style="4"/>
    <col min="9" max="10" width="9" style="4" customWidth="1"/>
    <col min="11" max="16384" width="9" style="4"/>
  </cols>
  <sheetData>
    <row r="1" spans="1:11" ht="15.75" x14ac:dyDescent="0.25">
      <c r="A1" s="58" t="s">
        <v>247</v>
      </c>
      <c r="B1" s="3"/>
    </row>
    <row r="2" spans="1:11" ht="18.75" customHeight="1" x14ac:dyDescent="0.25">
      <c r="B2" s="77" t="str">
        <f>IF(DataBase!ED2="","",DataBase!ED2)</f>
        <v>ADNOC BAB UHTW/UHTW 4.750/4.750</v>
      </c>
      <c r="C2" s="77"/>
      <c r="D2" s="77"/>
      <c r="E2" s="77"/>
      <c r="F2" s="77"/>
      <c r="G2" s="77"/>
      <c r="H2" s="77"/>
      <c r="I2" s="77"/>
      <c r="J2" s="77"/>
    </row>
    <row r="3" spans="1:11" ht="2.25" customHeight="1" x14ac:dyDescent="0.25">
      <c r="B3" s="3"/>
    </row>
    <row r="4" spans="1:11" ht="15.75" x14ac:dyDescent="0.25">
      <c r="A4" s="58" t="s">
        <v>248</v>
      </c>
      <c r="B4" s="3"/>
    </row>
    <row r="5" spans="1:11" ht="314.45" customHeight="1" x14ac:dyDescent="0.25">
      <c r="B5" s="77" t="str">
        <f>IF(DataBase!EE2="","",DataBase!EE2)</f>
        <v xml:space="preserve">• Test to reproduce 2023 test results (use 2023 sleeve and lower temperature (step by step))
• Install mechanical seals per F00321662 / D0527190-2 revB   
 - Use the job seal sleeve used for testing back in 2023
     - Old part code: C0618730NL   =   current part code: C100028091   =    part drawing F000893469
 - Install thermocouple at IB and OB seal stationary face.
• Pressurize to indicated pressure, measure break-out torque. Repeat torque measurements after 10 minutes.
• Start Test Unit
• Increase the temperature to 60°C at LBI (as per recent tests) and let it run for 100 hrs (119 till Monday morning ;-) )
• Decrease the temperature to 40°C at LBI and let it run for 100 hrs
• Stop test unit and measure break-out torque. Repeat torque measurements after 10 minutes.
• Post-test work Job and plug seal, required on stationary and rotating seal faces.
   - Waviness measurement on 1 location
   - Taper measurement on 2 locations
   - Roughness measurement
   - Profile measurement
</v>
      </c>
      <c r="C5" s="77"/>
      <c r="D5" s="77"/>
      <c r="E5" s="77"/>
      <c r="F5" s="77"/>
      <c r="G5" s="77"/>
      <c r="H5" s="77"/>
      <c r="I5" s="77"/>
      <c r="J5" s="77"/>
    </row>
    <row r="6" spans="1:11" ht="38.450000000000003" hidden="1" customHeight="1" x14ac:dyDescent="0.25">
      <c r="B6" s="3"/>
    </row>
    <row r="7" spans="1:11" ht="15.75" x14ac:dyDescent="0.25">
      <c r="A7" s="58" t="s">
        <v>250</v>
      </c>
      <c r="B7" s="3"/>
    </row>
    <row r="8" spans="1:11" ht="15.75" x14ac:dyDescent="0.25">
      <c r="A8" s="58"/>
      <c r="B8" s="3"/>
    </row>
    <row r="9" spans="1:11" ht="15.75" x14ac:dyDescent="0.25">
      <c r="A9" s="58"/>
      <c r="B9" s="2" t="s">
        <v>263</v>
      </c>
      <c r="E9" s="57" t="str">
        <f>IF(DataBase!EI2="","",DataBase!EI2)</f>
        <v>F00321662 / D0527190-2 revB</v>
      </c>
    </row>
    <row r="10" spans="1:11" ht="6.6" customHeight="1" x14ac:dyDescent="0.25">
      <c r="A10" s="58"/>
      <c r="B10" s="3"/>
    </row>
    <row r="11" spans="1:11" x14ac:dyDescent="0.25">
      <c r="B11" s="3"/>
      <c r="E11" s="56" t="str">
        <f>IF(DataBase!FA2=1,"Plug Seal","Inboard Seal")</f>
        <v>Inboard Seal</v>
      </c>
      <c r="H11" s="56" t="str">
        <f>IF(DataBase!FA2=1,"Test Seal","Outboard Seal")</f>
        <v>Outboard Seal</v>
      </c>
    </row>
    <row r="12" spans="1:11" x14ac:dyDescent="0.25">
      <c r="B12" s="2" t="s">
        <v>251</v>
      </c>
      <c r="E12" s="57" t="str">
        <f>IF(DataBase!EK2="","",DataBase!EK2)</f>
        <v>UHTW 4.750</v>
      </c>
      <c r="H12" s="57" t="str">
        <f>IF(DataBase!ES2="","",DataBase!ES2)</f>
        <v>UHTW 4.750</v>
      </c>
    </row>
    <row r="13" spans="1:11" ht="27.75" customHeight="1" x14ac:dyDescent="0.25">
      <c r="B13" s="2" t="s">
        <v>252</v>
      </c>
      <c r="E13" s="57" t="str">
        <f>IF(DataBase!EL2="","",DataBase!EL2)</f>
        <v>C0618722SL</v>
      </c>
      <c r="H13" s="77" t="str">
        <f>IF(DataBase!ET2="","",DataBase!ET2)</f>
        <v>C0618722SL</v>
      </c>
      <c r="I13" s="77"/>
      <c r="J13" s="77"/>
      <c r="K13" s="77"/>
    </row>
    <row r="14" spans="1:11" x14ac:dyDescent="0.25">
      <c r="B14" s="2" t="s">
        <v>253</v>
      </c>
      <c r="E14" s="57" t="str">
        <f>IF(DataBase!EM2="","",DataBase!EM2)</f>
        <v>C0619339SL</v>
      </c>
      <c r="H14" s="78" t="str">
        <f>IF(DataBase!EU2="","",DataBase!EU2)</f>
        <v>C0618723SL</v>
      </c>
      <c r="I14" s="78"/>
      <c r="J14" s="78"/>
      <c r="K14" s="78"/>
    </row>
    <row r="15" spans="1:11" x14ac:dyDescent="0.25">
      <c r="B15" s="2" t="s">
        <v>254</v>
      </c>
      <c r="E15" s="57" t="str">
        <f>IF(DataBase!EN2="","",DataBase!EN2)</f>
        <v>668838NL (9)</v>
      </c>
      <c r="H15" s="57" t="str">
        <f>IF(DataBase!EV2="","",DataBase!EV2)</f>
        <v>668838NL (10)</v>
      </c>
    </row>
    <row r="16" spans="1:11" ht="1.9" customHeight="1" x14ac:dyDescent="0.25">
      <c r="B16" s="3"/>
    </row>
    <row r="17" spans="1:8" ht="15.75" x14ac:dyDescent="0.25">
      <c r="A17" s="58" t="s">
        <v>249</v>
      </c>
      <c r="B17" s="3"/>
    </row>
    <row r="18" spans="1:8" ht="7.9" customHeight="1" x14ac:dyDescent="0.25">
      <c r="B18" s="3"/>
    </row>
    <row r="19" spans="1:8" x14ac:dyDescent="0.25">
      <c r="B19" s="2" t="s">
        <v>256</v>
      </c>
      <c r="E19" s="57" t="str">
        <f>IF(DataBase!EF2="","",DataBase!EF2)</f>
        <v>B</v>
      </c>
    </row>
    <row r="20" spans="1:8" x14ac:dyDescent="0.25">
      <c r="B20" s="2" t="s">
        <v>257</v>
      </c>
      <c r="E20" s="57" t="str">
        <f>IF(DataBase!EJ2="","",DataBase!EJ2&amp;" hours")</f>
        <v>min 75 hours</v>
      </c>
    </row>
    <row r="21" spans="1:8" x14ac:dyDescent="0.25">
      <c r="B21" s="2" t="s">
        <v>258</v>
      </c>
      <c r="E21" s="57" t="str">
        <f>IF(DataBase!EG2="","",DataBase!EG2&amp;" rpm")</f>
        <v>2980 rpm</v>
      </c>
    </row>
    <row r="22" spans="1:8" ht="7.15" customHeight="1" x14ac:dyDescent="0.25"/>
    <row r="23" spans="1:8" ht="11.45" customHeight="1" x14ac:dyDescent="0.25">
      <c r="E23" s="56" t="s">
        <v>259</v>
      </c>
      <c r="H23" s="56" t="str">
        <f>IF(DataBase!FA2=1,"",IF(DataBase!FA2=2,"Buffer Fluid","Barrier Fluid"))</f>
        <v>Barrier Fluid</v>
      </c>
    </row>
    <row r="24" spans="1:8" x14ac:dyDescent="0.25">
      <c r="B24" s="2" t="s">
        <v>255</v>
      </c>
      <c r="E24" s="57" t="str">
        <f>IF(DataBase!EO2="","NA",DataBase!EO2)</f>
        <v>NA</v>
      </c>
      <c r="H24" s="57" t="str">
        <f>IF(DataBase!EW2="","",DataBase!EW2)</f>
        <v>Water</v>
      </c>
    </row>
    <row r="25" spans="1:8" x14ac:dyDescent="0.25">
      <c r="B25" s="2" t="s">
        <v>260</v>
      </c>
      <c r="E25" s="57" t="str">
        <f>IF(DataBase!EP2="","NA",DataBase!EP2&amp;" barg")</f>
        <v>NA</v>
      </c>
      <c r="H25" s="57" t="str">
        <f>IF(DataBase!EX2="","",DataBase!EX2&amp;" barg")</f>
        <v>70 barg</v>
      </c>
    </row>
    <row r="26" spans="1:8" x14ac:dyDescent="0.25">
      <c r="B26" s="2" t="s">
        <v>261</v>
      </c>
      <c r="E26" s="57" t="str">
        <f>IF(DataBase!EQ2="","NA",DataBase!EQ2&amp;"°C")</f>
        <v>NA</v>
      </c>
      <c r="H26" s="57" t="str">
        <f>IF(DataBase!EY2="","",DataBase!EY2&amp;"°C")</f>
        <v>60 - 40°C</v>
      </c>
    </row>
    <row r="27" spans="1:8" x14ac:dyDescent="0.25">
      <c r="B27" s="2" t="s">
        <v>262</v>
      </c>
      <c r="E27" s="57" t="str">
        <f>IF(DataBase!ER2="","NA",DataBase!ER2&amp;" l/min")</f>
        <v>NA</v>
      </c>
      <c r="H27" s="57" t="str">
        <f>IF(DataBase!EZ2="","",DataBase!EZ2&amp;" l/min")</f>
        <v>TBD l/min</v>
      </c>
    </row>
  </sheetData>
  <sheetProtection selectLockedCells="1"/>
  <mergeCells count="4">
    <mergeCell ref="B2:J2"/>
    <mergeCell ref="B5:J5"/>
    <mergeCell ref="H13:K13"/>
    <mergeCell ref="H14:K14"/>
  </mergeCells>
  <pageMargins left="0.6692913385826772" right="0.51181102362204722" top="1.5748031496062993" bottom="0.78740157480314965" header="0.59055118110236227" footer="0.31496062992125984"/>
  <pageSetup paperSize="9" orientation="portrait" r:id="rId1"/>
  <headerFooter>
    <oddHeader>&amp;L&amp;G
&amp;C&amp;"-,Vet"&amp;16Test Change Notice&amp;"-,Standaard"&amp;10
&amp;G&amp;RProject No.: 2026RSD03TL
Run/TCN No.: 004</oddHeader>
    <oddFooter>&amp;C&amp;10&amp;G
&amp;LPrepared by: MT&amp;RCreated: 8/6/2026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6">
    <pageSetUpPr fitToPage="1"/>
  </sheetPr>
  <dimension ref="A1:Q33"/>
  <sheetViews>
    <sheetView showGridLines="0" zoomScaleNormal="100" workbookViewId="0">
      <selection activeCell="E24" sqref="E24"/>
    </sheetView>
  </sheetViews>
  <sheetFormatPr defaultColWidth="9.140625" defaultRowHeight="12.75" x14ac:dyDescent="0.2"/>
  <cols>
    <col min="1" max="1" width="19" style="47" bestFit="1" customWidth="1"/>
    <col min="2" max="2" width="12.7109375" style="47" customWidth="1"/>
    <col min="3" max="3" width="5.7109375" style="47" customWidth="1"/>
    <col min="4" max="4" width="12.7109375" style="47" customWidth="1"/>
    <col min="5" max="5" width="5.7109375" style="47" customWidth="1"/>
    <col min="6" max="6" width="12.7109375" style="47" customWidth="1"/>
    <col min="7" max="7" width="5.7109375" style="47" customWidth="1"/>
    <col min="8" max="8" width="12.7109375" style="47" customWidth="1"/>
    <col min="9" max="9" width="5.7109375" style="47" customWidth="1"/>
    <col min="10" max="10" width="12.7109375" style="47" customWidth="1"/>
    <col min="11" max="11" width="5.7109375" style="47" customWidth="1"/>
    <col min="12" max="12" width="12.7109375" style="47" customWidth="1"/>
    <col min="13" max="13" width="5.7109375" style="47" customWidth="1"/>
    <col min="14" max="14" width="12.7109375" style="47" customWidth="1"/>
    <col min="15" max="15" width="5.7109375" style="47" customWidth="1"/>
    <col min="16" max="16" width="12.7109375" style="47" customWidth="1"/>
    <col min="17" max="17" width="5.7109375" style="47" customWidth="1"/>
    <col min="18" max="16384" width="9.140625" style="47"/>
  </cols>
  <sheetData>
    <row r="1" spans="1:17" ht="51" customHeight="1" x14ac:dyDescent="0.2">
      <c r="A1" s="64" t="s">
        <v>276</v>
      </c>
      <c r="B1" s="79" t="str">
        <f>IF(DataBase!EE2="","",DataBase!EE2)</f>
        <v xml:space="preserve">• Test to reproduce 2023 test results (use 2023 sleeve and lower temperature (step by step))
• Install mechanical seals per F00321662 / D0527190-2 revB   
 - Use the job seal sleeve used for testing back in 2023
     - Old part code: C0618730NL   =   current part code: C100028091   =    part drawing F000893469
 - Install thermocouple at IB and OB seal stationary face.
• Pressurize to indicated pressure, measure break-out torque. Repeat torque measurements after 10 minutes.
• Start Test Unit
• Increase the temperature to 60°C at LBI (as per recent tests) and let it run for 100 hrs (119 till Monday morning ;-) )
• Decrease the temperature to 40°C at LBI and let it run for 100 hrs
• Stop test unit and measure break-out torque. Repeat torque measurements after 10 minutes.
• Post-test work Job and plug seal, required on stationary and rotating seal faces.
   - Waviness measurement on 1 location
   - Taper measurement on 2 locations
   - Roughness measurement
   - Profile measurement
</v>
      </c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</row>
    <row r="2" spans="1:17" ht="15.75" x14ac:dyDescent="0.2">
      <c r="A2" s="84" t="s">
        <v>211</v>
      </c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</row>
    <row r="3" spans="1:17" ht="15" customHeight="1" x14ac:dyDescent="0.2">
      <c r="A3" s="47" t="s">
        <v>16</v>
      </c>
      <c r="B3" s="65" t="str">
        <f>IF(DataBase!HF2="","",DataBase!HF2)</f>
        <v/>
      </c>
      <c r="C3" s="47" t="str">
        <f>IF(B3="","","hours")</f>
        <v/>
      </c>
    </row>
    <row r="4" spans="1:17" x14ac:dyDescent="0.2">
      <c r="A4" s="47" t="s">
        <v>1</v>
      </c>
      <c r="B4" s="50">
        <f>IF(DataBase!EG2="","NA",DataBase!EG2)</f>
        <v>2980</v>
      </c>
      <c r="C4" s="47" t="str">
        <f>IF(B4="","","rpm")</f>
        <v>rpm</v>
      </c>
    </row>
    <row r="5" spans="1:17" x14ac:dyDescent="0.2">
      <c r="B5" s="50"/>
    </row>
    <row r="6" spans="1:17" x14ac:dyDescent="0.2">
      <c r="B6" s="82" t="s">
        <v>274</v>
      </c>
      <c r="C6" s="82"/>
      <c r="D6" s="53"/>
      <c r="E6" s="53"/>
      <c r="F6" s="82" t="str">
        <f>IF(DataBase!FA2=1,IF(F9="","","Plan 23 Conditions"),IF(DataBase!FA2=2,"Buffer Conditions","Barrier Conditions"))</f>
        <v>Barrier Conditions</v>
      </c>
      <c r="G6" s="82"/>
    </row>
    <row r="7" spans="1:17" x14ac:dyDescent="0.2">
      <c r="A7" s="47" t="s">
        <v>219</v>
      </c>
      <c r="B7" s="83" t="str">
        <f>IF(DataBase!EO2="","",DataBase!EO2)</f>
        <v/>
      </c>
      <c r="C7" s="83"/>
      <c r="D7" s="54"/>
      <c r="E7" s="54"/>
      <c r="F7" s="83" t="str">
        <f>IF(DataBase!EW2="","",DataBase!EW2)</f>
        <v>Water</v>
      </c>
      <c r="G7" s="83"/>
    </row>
    <row r="8" spans="1:17" x14ac:dyDescent="0.2">
      <c r="A8" s="47" t="s">
        <v>204</v>
      </c>
      <c r="B8" s="50" t="str">
        <f>IF(DataBase!FS2="","",DataBase!FS2)</f>
        <v/>
      </c>
      <c r="C8" s="47" t="str">
        <f>IF(B8="","","barg")</f>
        <v/>
      </c>
      <c r="F8" s="50" t="str">
        <f>IF(DataBase!FW2="","",DataBase!FW2)</f>
        <v/>
      </c>
      <c r="G8" s="47" t="str">
        <f>IF(F8="","","barg")</f>
        <v/>
      </c>
    </row>
    <row r="9" spans="1:17" x14ac:dyDescent="0.2">
      <c r="A9" s="47" t="s">
        <v>205</v>
      </c>
      <c r="B9" s="50" t="str">
        <f>IF(DataBase!FT2="","",DataBase!FT2)</f>
        <v/>
      </c>
      <c r="C9" s="47" t="str">
        <f>IF(B9="","","°C")</f>
        <v/>
      </c>
      <c r="F9" s="50" t="str">
        <f>IF(DataBase!FX2="","",DataBase!FX2)</f>
        <v/>
      </c>
      <c r="G9" s="47" t="str">
        <f>IF(F9="","","°C")</f>
        <v/>
      </c>
    </row>
    <row r="10" spans="1:17" x14ac:dyDescent="0.2">
      <c r="A10" s="47" t="s">
        <v>206</v>
      </c>
      <c r="B10" s="50" t="str">
        <f>IF(DataBase!FU2="","",DataBase!FU2)</f>
        <v/>
      </c>
      <c r="C10" s="47" t="str">
        <f>IF(B10="","","°C")</f>
        <v/>
      </c>
      <c r="F10" s="50" t="str">
        <f>IF(DataBase!FY2="","",DataBase!FY2)</f>
        <v/>
      </c>
      <c r="G10" s="47" t="str">
        <f>IF(F10="","","°C")</f>
        <v/>
      </c>
    </row>
    <row r="11" spans="1:17" x14ac:dyDescent="0.2">
      <c r="A11" s="47" t="s">
        <v>207</v>
      </c>
      <c r="B11" s="50" t="str">
        <f>IF(DataBase!FV2="","",DataBase!FV2)</f>
        <v/>
      </c>
      <c r="C11" s="47" t="str">
        <f>IF(B11="","","l/min")</f>
        <v/>
      </c>
      <c r="F11" s="47" t="str">
        <f>IF(DataBase!FZ2="","",DataBase!FZ2)</f>
        <v/>
      </c>
      <c r="G11" s="47" t="str">
        <f>IF(F11="","","l/min")</f>
        <v/>
      </c>
    </row>
    <row r="13" spans="1:17" ht="15.75" x14ac:dyDescent="0.2">
      <c r="A13" s="84" t="s">
        <v>203</v>
      </c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</row>
    <row r="14" spans="1:17" ht="15" customHeight="1" x14ac:dyDescent="0.2">
      <c r="B14" s="82" t="str">
        <f>IF(DataBase!$FA$2=1,"Plug Seal","Inboard Seal")</f>
        <v>Inboard Seal</v>
      </c>
      <c r="C14" s="82"/>
      <c r="D14" s="82"/>
      <c r="E14" s="82"/>
      <c r="F14" s="82"/>
      <c r="G14" s="82"/>
      <c r="H14" s="82"/>
      <c r="I14" s="82"/>
      <c r="J14" s="82" t="str">
        <f>IF(DataBase!$FA$2=1,"Test Seal","Inboard Seal")</f>
        <v>Inboard Seal</v>
      </c>
      <c r="K14" s="82"/>
      <c r="L14" s="82"/>
      <c r="M14" s="82"/>
      <c r="N14" s="82"/>
      <c r="O14" s="82"/>
      <c r="P14" s="82"/>
      <c r="Q14" s="82"/>
    </row>
    <row r="15" spans="1:17" x14ac:dyDescent="0.2">
      <c r="A15" s="47" t="s">
        <v>199</v>
      </c>
      <c r="B15" s="83" t="str">
        <f>IF(DataBase!EK2="","",DataBase!EK2)</f>
        <v>UHTW 4.750</v>
      </c>
      <c r="C15" s="83"/>
      <c r="D15" s="83"/>
      <c r="E15" s="83"/>
      <c r="F15" s="83"/>
      <c r="G15" s="83"/>
      <c r="H15" s="83"/>
      <c r="I15" s="83"/>
      <c r="J15" s="83" t="str">
        <f>IF(DataBase!ES2="","",DataBase!ES2)</f>
        <v>UHTW 4.750</v>
      </c>
      <c r="K15" s="83"/>
      <c r="L15" s="83"/>
      <c r="M15" s="83"/>
      <c r="N15" s="83"/>
      <c r="O15" s="83"/>
      <c r="P15" s="83"/>
      <c r="Q15" s="83"/>
    </row>
    <row r="16" spans="1:17" x14ac:dyDescent="0.2">
      <c r="A16" s="47" t="s">
        <v>200</v>
      </c>
      <c r="B16" s="83" t="str">
        <f>IF(DataBase!EL2="","",DataBase!EL2)</f>
        <v>C0618722SL</v>
      </c>
      <c r="C16" s="83"/>
      <c r="D16" s="83"/>
      <c r="E16" s="83"/>
      <c r="F16" s="83"/>
      <c r="G16" s="83"/>
      <c r="H16" s="83"/>
      <c r="I16" s="83"/>
      <c r="J16" s="83" t="str">
        <f>IF(DataBase!ET2="","",DataBase!ET2)</f>
        <v>C0618722SL</v>
      </c>
      <c r="K16" s="83"/>
      <c r="L16" s="83"/>
      <c r="M16" s="83"/>
      <c r="N16" s="83"/>
      <c r="O16" s="83"/>
      <c r="P16" s="83"/>
      <c r="Q16" s="83"/>
    </row>
    <row r="17" spans="1:17" x14ac:dyDescent="0.2">
      <c r="A17" s="47" t="s">
        <v>201</v>
      </c>
      <c r="B17" s="83" t="str">
        <f>IF(DataBase!EM2="","",DataBase!EM2)</f>
        <v>C0619339SL</v>
      </c>
      <c r="C17" s="83"/>
      <c r="D17" s="83"/>
      <c r="E17" s="83"/>
      <c r="F17" s="83"/>
      <c r="G17" s="83"/>
      <c r="H17" s="83"/>
      <c r="I17" s="83"/>
      <c r="J17" s="83" t="str">
        <f>IF(DataBase!EU2="","",DataBase!EU2)</f>
        <v>C0618723SL</v>
      </c>
      <c r="K17" s="83"/>
      <c r="L17" s="83"/>
      <c r="M17" s="83"/>
      <c r="N17" s="83"/>
      <c r="O17" s="83"/>
      <c r="P17" s="83"/>
      <c r="Q17" s="83"/>
    </row>
    <row r="18" spans="1:17" x14ac:dyDescent="0.2">
      <c r="A18" s="47" t="s">
        <v>202</v>
      </c>
      <c r="B18" s="83" t="str">
        <f>IF(DataBase!EN2="","",DataBase!EN2)</f>
        <v>668838NL (9)</v>
      </c>
      <c r="C18" s="83"/>
      <c r="D18" s="83"/>
      <c r="E18" s="83"/>
      <c r="F18" s="83"/>
      <c r="G18" s="83"/>
      <c r="H18" s="83"/>
      <c r="I18" s="83"/>
      <c r="J18" s="83" t="str">
        <f>IF(DataBase!EV2="","",DataBase!EV2)</f>
        <v>668838NL (10)</v>
      </c>
      <c r="K18" s="83"/>
      <c r="L18" s="83"/>
      <c r="M18" s="83"/>
      <c r="N18" s="83"/>
      <c r="O18" s="83"/>
      <c r="P18" s="83"/>
      <c r="Q18" s="83"/>
    </row>
    <row r="19" spans="1:17" x14ac:dyDescent="0.2"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</row>
    <row r="20" spans="1:17" ht="15.75" x14ac:dyDescent="0.2">
      <c r="A20" s="84" t="s">
        <v>218</v>
      </c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</row>
    <row r="21" spans="1:17" ht="3" customHeight="1" x14ac:dyDescent="0.2">
      <c r="A21" s="51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</row>
    <row r="22" spans="1:17" s="55" customFormat="1" ht="51" customHeight="1" x14ac:dyDescent="0.25">
      <c r="A22" s="55" t="s">
        <v>243</v>
      </c>
      <c r="B22" s="79" t="str">
        <f>IF(DataBase!FN2="","",DataBase!FN2)</f>
        <v/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</row>
    <row r="23" spans="1:17" x14ac:dyDescent="0.2">
      <c r="B23" s="82" t="str">
        <f>IF(DataBase!$FA$2=1,"Plug Seal","Inboard Seal")</f>
        <v>Inboard Seal</v>
      </c>
      <c r="C23" s="82"/>
      <c r="D23" s="82"/>
      <c r="E23" s="82"/>
      <c r="F23" s="82"/>
      <c r="G23" s="82"/>
      <c r="H23" s="82"/>
      <c r="I23" s="82"/>
      <c r="J23" s="82" t="str">
        <f>IF(DataBase!$FA$2=1,"Test Seal","Inboard Seal")</f>
        <v>Inboard Seal</v>
      </c>
      <c r="K23" s="82"/>
      <c r="L23" s="82"/>
      <c r="M23" s="82"/>
      <c r="N23" s="82"/>
      <c r="O23" s="82"/>
      <c r="P23" s="82"/>
      <c r="Q23" s="82"/>
    </row>
    <row r="24" spans="1:17" x14ac:dyDescent="0.2">
      <c r="A24" s="47" t="s">
        <v>246</v>
      </c>
      <c r="B24" s="54"/>
      <c r="C24" s="54"/>
      <c r="D24" s="54"/>
      <c r="E24" s="50" t="str">
        <f>IF(DataBase!GA2="","",DataBase!GA2)</f>
        <v/>
      </c>
      <c r="F24" s="47" t="str">
        <f>IF(E24="","","ml/hr")</f>
        <v/>
      </c>
      <c r="G24" s="54"/>
      <c r="H24" s="54"/>
      <c r="I24" s="54"/>
      <c r="J24" s="54"/>
      <c r="K24" s="54"/>
      <c r="L24" s="54"/>
      <c r="M24" s="50" t="str">
        <f>IF(DataBase!GJ2="","",DataBase!GJ2)</f>
        <v/>
      </c>
      <c r="N24" s="47" t="str">
        <f>IF(M24="","","ml/hr")</f>
        <v/>
      </c>
      <c r="O24" s="54"/>
      <c r="P24" s="54"/>
      <c r="Q24" s="54"/>
    </row>
    <row r="25" spans="1:17" x14ac:dyDescent="0.2">
      <c r="A25" s="47" t="s">
        <v>213</v>
      </c>
      <c r="B25" s="54"/>
      <c r="C25" s="54"/>
      <c r="D25" s="54"/>
      <c r="E25" s="50" t="str">
        <f>IF(DataBase!GB2="","",DataBase!GB2)</f>
        <v/>
      </c>
      <c r="F25" s="47" t="str">
        <f>IF(E25="","","°C")</f>
        <v/>
      </c>
      <c r="G25" s="54"/>
      <c r="H25" s="54"/>
      <c r="I25" s="54"/>
      <c r="J25" s="54"/>
      <c r="K25" s="54"/>
      <c r="L25" s="54"/>
      <c r="M25" s="50" t="str">
        <f>IF(DataBase!GK2="","",DataBase!GK2)</f>
        <v/>
      </c>
      <c r="N25" s="47" t="str">
        <f>IF(M25="","","°C")</f>
        <v/>
      </c>
      <c r="O25" s="54"/>
      <c r="P25" s="54"/>
      <c r="Q25" s="54"/>
    </row>
    <row r="26" spans="1:17" x14ac:dyDescent="0.2">
      <c r="A26" s="47" t="s">
        <v>214</v>
      </c>
      <c r="B26" s="54"/>
      <c r="C26" s="54"/>
      <c r="D26" s="54"/>
      <c r="E26" s="50" t="str">
        <f>IF(DataBase!GC2="","",DataBase!GC2)</f>
        <v/>
      </c>
      <c r="F26" s="47" t="str">
        <f>IF(E26="","","µm/hr")</f>
        <v/>
      </c>
      <c r="G26" s="54"/>
      <c r="H26" s="54"/>
      <c r="I26" s="54"/>
      <c r="J26" s="54"/>
      <c r="K26" s="54"/>
      <c r="L26" s="54"/>
      <c r="M26" s="50" t="str">
        <f>IF(DataBase!GL2="","",DataBase!GL2)</f>
        <v/>
      </c>
      <c r="N26" s="47" t="str">
        <f>IF(M26="","","µm/hr")</f>
        <v/>
      </c>
      <c r="O26" s="54"/>
      <c r="P26" s="54"/>
      <c r="Q26" s="54"/>
    </row>
    <row r="27" spans="1:17" ht="15" customHeight="1" x14ac:dyDescent="0.2">
      <c r="A27" s="55" t="s">
        <v>212</v>
      </c>
      <c r="B27" s="82" t="s">
        <v>200</v>
      </c>
      <c r="C27" s="82"/>
      <c r="D27" s="82"/>
      <c r="E27" s="82"/>
      <c r="F27" s="82" t="s">
        <v>210</v>
      </c>
      <c r="G27" s="82"/>
      <c r="H27" s="82"/>
      <c r="I27" s="82"/>
      <c r="J27" s="82" t="s">
        <v>200</v>
      </c>
      <c r="K27" s="82"/>
      <c r="L27" s="82"/>
      <c r="M27" s="82"/>
      <c r="N27" s="82" t="s">
        <v>210</v>
      </c>
      <c r="O27" s="82"/>
      <c r="P27" s="82"/>
      <c r="Q27" s="82"/>
    </row>
    <row r="28" spans="1:17" s="55" customFormat="1" ht="76.5" customHeight="1" x14ac:dyDescent="0.2">
      <c r="A28" s="47"/>
      <c r="B28" s="81" t="str">
        <f>IF(DataBase!FO2="","",DataBase!FO2)</f>
        <v/>
      </c>
      <c r="C28" s="81"/>
      <c r="D28" s="81"/>
      <c r="E28" s="81"/>
      <c r="F28" s="81" t="str">
        <f>IF(DataBase!FP2="","",DataBase!FP2)</f>
        <v/>
      </c>
      <c r="G28" s="81"/>
      <c r="H28" s="81"/>
      <c r="I28" s="81"/>
      <c r="J28" s="81" t="str">
        <f>IF(DataBase!FQ2="","",DataBase!FQ2)</f>
        <v/>
      </c>
      <c r="K28" s="81"/>
      <c r="L28" s="81"/>
      <c r="M28" s="81"/>
      <c r="N28" s="81" t="str">
        <f>IF(DataBase!FR2="","",DataBase!FR2)</f>
        <v/>
      </c>
      <c r="O28" s="81"/>
      <c r="P28" s="81"/>
      <c r="Q28" s="81"/>
    </row>
    <row r="29" spans="1:17" ht="15" customHeight="1" x14ac:dyDescent="0.2">
      <c r="B29" s="82" t="s">
        <v>208</v>
      </c>
      <c r="C29" s="82" t="str">
        <f>IF(B30="","","µm")</f>
        <v/>
      </c>
      <c r="D29" s="82" t="s">
        <v>209</v>
      </c>
      <c r="E29" s="82" t="str">
        <f>IF(D30="","","µm")</f>
        <v/>
      </c>
      <c r="F29" s="82" t="s">
        <v>208</v>
      </c>
      <c r="G29" s="82"/>
      <c r="H29" s="82" t="s">
        <v>209</v>
      </c>
      <c r="I29" s="82"/>
      <c r="J29" s="82" t="s">
        <v>208</v>
      </c>
      <c r="K29" s="82"/>
      <c r="L29" s="82" t="s">
        <v>209</v>
      </c>
      <c r="M29" s="82"/>
      <c r="N29" s="82" t="s">
        <v>208</v>
      </c>
      <c r="O29" s="82"/>
      <c r="P29" s="82" t="s">
        <v>209</v>
      </c>
      <c r="Q29" s="82"/>
    </row>
    <row r="30" spans="1:17" x14ac:dyDescent="0.2">
      <c r="A30" s="47" t="s">
        <v>215</v>
      </c>
      <c r="B30" s="49" t="str">
        <f>IF(DataBase!GD2="","",DataBase!GD2)</f>
        <v/>
      </c>
      <c r="C30" s="47" t="str">
        <f>IF(B30="","","µm")</f>
        <v/>
      </c>
      <c r="D30" s="49" t="str">
        <f>IF(DataBase!GS2="","",DataBase!GS2)</f>
        <v/>
      </c>
      <c r="E30" s="47" t="str">
        <f>IF(D30="","","µm")</f>
        <v/>
      </c>
      <c r="F30" s="49" t="str">
        <f>IF(DataBase!GG2="","",DataBase!GG2)</f>
        <v/>
      </c>
      <c r="G30" s="47" t="str">
        <f>IF(F30="","","µm")</f>
        <v/>
      </c>
      <c r="H30" s="49" t="str">
        <f>IF(DataBase!GV2="","",DataBase!GV2)</f>
        <v/>
      </c>
      <c r="I30" s="47" t="str">
        <f>IF(H30="","","µm")</f>
        <v/>
      </c>
      <c r="J30" s="49" t="str">
        <f>IF(DataBase!GM2="","",DataBase!GM2)</f>
        <v/>
      </c>
      <c r="K30" s="47" t="str">
        <f>IF(J30="","","µm")</f>
        <v/>
      </c>
      <c r="L30" s="49" t="str">
        <f>IF(DataBase!GY2="","",DataBase!GY2)</f>
        <v/>
      </c>
      <c r="M30" s="47" t="str">
        <f>IF(L30="","","µm")</f>
        <v/>
      </c>
      <c r="N30" s="49" t="str">
        <f>IF(DataBase!GP2="","",DataBase!GP2)</f>
        <v/>
      </c>
      <c r="O30" s="47" t="str">
        <f>IF(N30="","","µm")</f>
        <v/>
      </c>
      <c r="P30" s="49" t="str">
        <f>IF(DataBase!HB2="","",DataBase!HB2)</f>
        <v/>
      </c>
      <c r="Q30" s="47" t="str">
        <f>IF(P30="","","µm")</f>
        <v/>
      </c>
    </row>
    <row r="31" spans="1:17" x14ac:dyDescent="0.2">
      <c r="A31" s="47" t="s">
        <v>244</v>
      </c>
      <c r="B31" s="49" t="str">
        <f>IF(DataBase!GE2="","",DataBase!GE2)</f>
        <v/>
      </c>
      <c r="C31" s="47" t="str">
        <f>IF(B31="","","µm")</f>
        <v/>
      </c>
      <c r="D31" s="49" t="str">
        <f>IF(DataBase!GT2="","",DataBase!GT2)</f>
        <v/>
      </c>
      <c r="E31" s="47" t="str">
        <f>IF(D31="","","µm")</f>
        <v/>
      </c>
      <c r="F31" s="49" t="str">
        <f>IF(DataBase!GH2="","",DataBase!GH2)</f>
        <v/>
      </c>
      <c r="G31" s="47" t="str">
        <f>IF(F31="","","µm")</f>
        <v/>
      </c>
      <c r="H31" s="49" t="str">
        <f>IF(DataBase!GW2="","",DataBase!GW2)</f>
        <v/>
      </c>
      <c r="I31" s="47" t="str">
        <f>IF(H31="","","µm")</f>
        <v/>
      </c>
      <c r="J31" s="49" t="str">
        <f>IF(DataBase!GN2="","",DataBase!GN2)</f>
        <v/>
      </c>
      <c r="K31" s="47" t="str">
        <f>IF(J31="","","µm")</f>
        <v/>
      </c>
      <c r="L31" s="49" t="str">
        <f>IF(DataBase!GZ2="","",DataBase!GZ2)</f>
        <v/>
      </c>
      <c r="M31" s="47" t="str">
        <f>IF(L31="","","µm")</f>
        <v/>
      </c>
      <c r="N31" s="49" t="str">
        <f>IF(DataBase!GQ2="","",DataBase!GQ2)</f>
        <v/>
      </c>
      <c r="O31" s="47" t="str">
        <f>IF(N31="","","µm")</f>
        <v/>
      </c>
      <c r="P31" s="49" t="str">
        <f>IF(DataBase!HC2="","",DataBase!HC2)</f>
        <v/>
      </c>
      <c r="Q31" s="47" t="str">
        <f>IF(P31="","","µm")</f>
        <v/>
      </c>
    </row>
    <row r="32" spans="1:17" x14ac:dyDescent="0.2">
      <c r="A32" s="47" t="s">
        <v>216</v>
      </c>
      <c r="B32" s="49" t="str">
        <f>IF(DataBase!GF2="","",DataBase!GF2)</f>
        <v/>
      </c>
      <c r="C32" s="47" t="str">
        <f>IF(B32="","","µm")</f>
        <v/>
      </c>
      <c r="D32" s="49" t="str">
        <f>IF(DataBase!GU2="","",DataBase!GU2)</f>
        <v/>
      </c>
      <c r="E32" s="47" t="str">
        <f>IF(D32="","","µm")</f>
        <v/>
      </c>
      <c r="F32" s="49" t="str">
        <f>IF(DataBase!GI2="","",DataBase!GI2)</f>
        <v/>
      </c>
      <c r="G32" s="47" t="str">
        <f>IF(F32="","","µm")</f>
        <v/>
      </c>
      <c r="H32" s="49" t="str">
        <f>IF(DataBase!GX2="","",DataBase!GX2)</f>
        <v/>
      </c>
      <c r="I32" s="47" t="str">
        <f>IF(H32="","","µm")</f>
        <v/>
      </c>
      <c r="J32" s="49" t="str">
        <f>IF(DataBase!GO2="","",DataBase!GO2)</f>
        <v/>
      </c>
      <c r="K32" s="47" t="str">
        <f>IF(J32="","","µm")</f>
        <v/>
      </c>
      <c r="L32" s="49" t="str">
        <f>IF(DataBase!HA2="","",DataBase!HA2)</f>
        <v/>
      </c>
      <c r="M32" s="47" t="str">
        <f>IF(L32="","","µm")</f>
        <v/>
      </c>
      <c r="N32" s="49" t="str">
        <f>IF(DataBase!GR2="","",DataBase!GR2)</f>
        <v/>
      </c>
      <c r="O32" s="47" t="str">
        <f>IF(N32="","","µm")</f>
        <v/>
      </c>
      <c r="P32" s="49" t="str">
        <f>IF(DataBase!HD2="","",DataBase!HD2)</f>
        <v/>
      </c>
      <c r="Q32" s="47" t="str">
        <f>IF(P32="","","µm")</f>
        <v/>
      </c>
    </row>
    <row r="33" spans="1:17" x14ac:dyDescent="0.2">
      <c r="A33" s="47" t="s">
        <v>217</v>
      </c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</row>
  </sheetData>
  <sheetProtection selectLockedCells="1"/>
  <mergeCells count="41">
    <mergeCell ref="A13:Q13"/>
    <mergeCell ref="A2:Q2"/>
    <mergeCell ref="B6:C6"/>
    <mergeCell ref="F6:G6"/>
    <mergeCell ref="B7:C7"/>
    <mergeCell ref="F7:G7"/>
    <mergeCell ref="B22:Q22"/>
    <mergeCell ref="B14:I14"/>
    <mergeCell ref="J14:Q14"/>
    <mergeCell ref="B15:I15"/>
    <mergeCell ref="J15:Q15"/>
    <mergeCell ref="B16:I16"/>
    <mergeCell ref="J16:Q16"/>
    <mergeCell ref="B17:I17"/>
    <mergeCell ref="J17:Q17"/>
    <mergeCell ref="B18:I18"/>
    <mergeCell ref="J18:Q18"/>
    <mergeCell ref="A20:Q20"/>
    <mergeCell ref="P29:Q29"/>
    <mergeCell ref="B23:I23"/>
    <mergeCell ref="J23:Q23"/>
    <mergeCell ref="B27:E27"/>
    <mergeCell ref="F27:I27"/>
    <mergeCell ref="J27:M27"/>
    <mergeCell ref="N27:Q27"/>
    <mergeCell ref="B1:Q1"/>
    <mergeCell ref="B33:E33"/>
    <mergeCell ref="F33:I33"/>
    <mergeCell ref="J33:M33"/>
    <mergeCell ref="N33:Q33"/>
    <mergeCell ref="B28:E28"/>
    <mergeCell ref="F28:I28"/>
    <mergeCell ref="J28:M28"/>
    <mergeCell ref="N28:Q28"/>
    <mergeCell ref="B29:C29"/>
    <mergeCell ref="D29:E29"/>
    <mergeCell ref="F29:G29"/>
    <mergeCell ref="H29:I29"/>
    <mergeCell ref="J29:K29"/>
    <mergeCell ref="L29:M29"/>
    <mergeCell ref="N29:O29"/>
  </mergeCells>
  <printOptions horizontalCentered="1"/>
  <pageMargins left="0.6692913385826772" right="0.51181102362204722" top="1.0236220472440944" bottom="0.55118110236220474" header="0.59055118110236227" footer="0.31496062992125984"/>
  <pageSetup paperSize="9" scale="54" orientation="portrait" horizontalDpi="4294967293" r:id="rId1"/>
  <headerFooter>
    <oddHeader>&amp;L&amp;G
&amp;C&amp;"-,Vet"&amp;16Test Results Summary
&amp;10 &amp;"-,Standaard"
&amp;G&amp;RProject No.: 2026RSD03TL
Run/TCN No.: 001</oddHeader>
    <oddFooter>&amp;C&amp;G
&amp;LPrepared by: MG&amp;RPrint Date: 6/17/2026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pageSetUpPr fitToPage="1"/>
  </sheetPr>
  <dimension ref="A1:Z100"/>
  <sheetViews>
    <sheetView showGridLines="0" zoomScaleNormal="100" workbookViewId="0">
      <selection activeCell="C7" sqref="C7:Z100"/>
    </sheetView>
  </sheetViews>
  <sheetFormatPr defaultColWidth="9.140625" defaultRowHeight="15" x14ac:dyDescent="0.25"/>
  <cols>
    <col min="1" max="1" width="9.7109375" style="29" customWidth="1"/>
    <col min="2" max="3" width="8.7109375" style="30" customWidth="1"/>
    <col min="4" max="24" width="8.7109375" style="32" customWidth="1"/>
    <col min="25" max="26" width="9.140625" style="31"/>
    <col min="27" max="16384" width="9.140625" style="34"/>
  </cols>
  <sheetData>
    <row r="1" spans="1:26" customFormat="1" x14ac:dyDescent="0.25">
      <c r="A1" s="89" t="s">
        <v>183</v>
      </c>
      <c r="B1" s="90"/>
      <c r="C1" s="90"/>
      <c r="D1" s="87"/>
      <c r="E1" s="88"/>
      <c r="F1" s="41" t="s">
        <v>185</v>
      </c>
      <c r="G1" s="85"/>
      <c r="H1" s="86"/>
      <c r="I1" s="89" t="s">
        <v>20</v>
      </c>
      <c r="J1" s="90"/>
      <c r="K1" s="90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8"/>
    </row>
    <row r="2" spans="1:26" customFormat="1" x14ac:dyDescent="0.25">
      <c r="A2" s="89" t="s">
        <v>6</v>
      </c>
      <c r="B2" s="90"/>
      <c r="C2" s="90"/>
      <c r="D2" s="85"/>
      <c r="E2" s="85"/>
      <c r="F2" s="85"/>
      <c r="G2" s="85"/>
      <c r="H2" s="86"/>
      <c r="I2" s="91" t="s">
        <v>174</v>
      </c>
      <c r="J2" s="91"/>
      <c r="K2" s="91"/>
      <c r="L2" s="91"/>
      <c r="M2" s="91"/>
      <c r="N2" s="91"/>
      <c r="O2" s="91" t="s">
        <v>175</v>
      </c>
      <c r="P2" s="91"/>
      <c r="Q2" s="91"/>
      <c r="R2" s="91"/>
      <c r="S2" s="91"/>
      <c r="T2" s="91"/>
      <c r="U2" s="89" t="s">
        <v>186</v>
      </c>
      <c r="V2" s="90"/>
      <c r="W2" s="90"/>
      <c r="X2" s="92"/>
      <c r="Y2" s="92"/>
      <c r="Z2" s="93"/>
    </row>
    <row r="3" spans="1:26" customFormat="1" x14ac:dyDescent="0.25">
      <c r="A3" s="89" t="s">
        <v>7</v>
      </c>
      <c r="B3" s="90"/>
      <c r="C3" s="90"/>
      <c r="D3" s="85"/>
      <c r="E3" s="85"/>
      <c r="F3" s="85"/>
      <c r="G3" s="85"/>
      <c r="H3" s="86"/>
      <c r="I3" s="89" t="s">
        <v>179</v>
      </c>
      <c r="J3" s="90"/>
      <c r="K3" s="90"/>
      <c r="L3" s="87"/>
      <c r="M3" s="87"/>
      <c r="N3" s="88"/>
      <c r="O3" s="89" t="s">
        <v>179</v>
      </c>
      <c r="P3" s="90"/>
      <c r="Q3" s="90"/>
      <c r="R3" s="87"/>
      <c r="S3" s="87"/>
      <c r="T3" s="88"/>
      <c r="U3" s="89" t="s">
        <v>188</v>
      </c>
      <c r="V3" s="90"/>
      <c r="W3" s="90"/>
      <c r="X3" s="92"/>
      <c r="Y3" s="92"/>
      <c r="Z3" s="93"/>
    </row>
    <row r="4" spans="1:26" customFormat="1" x14ac:dyDescent="0.25">
      <c r="A4" s="89" t="s">
        <v>8</v>
      </c>
      <c r="B4" s="90"/>
      <c r="C4" s="90"/>
      <c r="D4" s="85"/>
      <c r="E4" s="85"/>
      <c r="F4" s="85"/>
      <c r="G4" s="85"/>
      <c r="H4" s="86"/>
      <c r="I4" s="89" t="s">
        <v>180</v>
      </c>
      <c r="J4" s="90"/>
      <c r="K4" s="90"/>
      <c r="L4" s="87"/>
      <c r="M4" s="87"/>
      <c r="N4" s="88"/>
      <c r="O4" s="89" t="s">
        <v>180</v>
      </c>
      <c r="P4" s="90"/>
      <c r="Q4" s="90"/>
      <c r="R4" s="87"/>
      <c r="S4" s="87"/>
      <c r="T4" s="88"/>
      <c r="U4" s="89" t="s">
        <v>187</v>
      </c>
      <c r="V4" s="90"/>
      <c r="W4" s="90"/>
      <c r="X4" s="92"/>
      <c r="Y4" s="92"/>
      <c r="Z4" s="93"/>
    </row>
    <row r="5" spans="1:26" customFormat="1" x14ac:dyDescent="0.25">
      <c r="A5" s="89" t="s">
        <v>182</v>
      </c>
      <c r="B5" s="90"/>
      <c r="C5" s="90"/>
      <c r="D5" s="85"/>
      <c r="E5" s="85"/>
      <c r="F5" s="85"/>
      <c r="G5" s="85"/>
      <c r="H5" s="86"/>
      <c r="I5" s="89" t="s">
        <v>181</v>
      </c>
      <c r="J5" s="90"/>
      <c r="K5" s="90"/>
      <c r="L5" s="87"/>
      <c r="M5" s="87"/>
      <c r="N5" s="88"/>
      <c r="O5" s="89" t="s">
        <v>181</v>
      </c>
      <c r="P5" s="90"/>
      <c r="Q5" s="90"/>
      <c r="R5" s="87"/>
      <c r="S5" s="87"/>
      <c r="T5" s="88"/>
      <c r="U5" s="89" t="s">
        <v>188</v>
      </c>
      <c r="V5" s="90"/>
      <c r="W5" s="90"/>
      <c r="X5" s="92"/>
      <c r="Y5" s="92"/>
      <c r="Z5" s="93"/>
    </row>
    <row r="6" spans="1:26" s="33" customFormat="1" ht="25.5" x14ac:dyDescent="0.25">
      <c r="A6" s="38" t="s">
        <v>176</v>
      </c>
      <c r="B6" s="39" t="s">
        <v>177</v>
      </c>
      <c r="C6" s="39" t="s">
        <v>178</v>
      </c>
      <c r="D6" s="39" t="s">
        <v>46</v>
      </c>
      <c r="E6" s="39" t="s">
        <v>184</v>
      </c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40"/>
    </row>
    <row r="7" spans="1:26" x14ac:dyDescent="0.25">
      <c r="A7" s="35"/>
      <c r="B7" s="36"/>
      <c r="C7" s="62" t="str">
        <f>IF(A7="","",((A7+B7)-($A$7+$B$7))*24)</f>
        <v/>
      </c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</row>
    <row r="8" spans="1:26" x14ac:dyDescent="0.25">
      <c r="A8" s="35"/>
      <c r="B8" s="36"/>
      <c r="C8" s="62" t="str">
        <f t="shared" ref="C8:C32" si="0">IF(A8="","",((A8+B8)-($A$7+$B$7))*24)</f>
        <v/>
      </c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</row>
    <row r="9" spans="1:26" x14ac:dyDescent="0.25">
      <c r="A9" s="35"/>
      <c r="B9" s="37"/>
      <c r="C9" s="62" t="str">
        <f t="shared" si="0"/>
        <v/>
      </c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</row>
    <row r="10" spans="1:26" x14ac:dyDescent="0.25">
      <c r="A10" s="35"/>
      <c r="B10" s="37"/>
      <c r="C10" s="62" t="str">
        <f t="shared" si="0"/>
        <v/>
      </c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</row>
    <row r="11" spans="1:26" x14ac:dyDescent="0.25">
      <c r="A11" s="35"/>
      <c r="B11" s="37"/>
      <c r="C11" s="62" t="str">
        <f t="shared" si="0"/>
        <v/>
      </c>
      <c r="D11" s="63"/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</row>
    <row r="12" spans="1:26" x14ac:dyDescent="0.25">
      <c r="A12" s="35"/>
      <c r="B12" s="37"/>
      <c r="C12" s="62" t="str">
        <f t="shared" si="0"/>
        <v/>
      </c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</row>
    <row r="13" spans="1:26" x14ac:dyDescent="0.25">
      <c r="A13" s="35"/>
      <c r="B13" s="37"/>
      <c r="C13" s="62" t="str">
        <f t="shared" si="0"/>
        <v/>
      </c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</row>
    <row r="14" spans="1:26" x14ac:dyDescent="0.25">
      <c r="A14" s="35"/>
      <c r="B14" s="37"/>
      <c r="C14" s="62" t="str">
        <f t="shared" si="0"/>
        <v/>
      </c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</row>
    <row r="15" spans="1:26" x14ac:dyDescent="0.25">
      <c r="A15" s="35"/>
      <c r="B15" s="37"/>
      <c r="C15" s="62" t="str">
        <f t="shared" si="0"/>
        <v/>
      </c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</row>
    <row r="16" spans="1:26" x14ac:dyDescent="0.25">
      <c r="A16" s="35"/>
      <c r="B16" s="37"/>
      <c r="C16" s="62" t="str">
        <f t="shared" si="0"/>
        <v/>
      </c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</row>
    <row r="17" spans="1:26" x14ac:dyDescent="0.25">
      <c r="A17" s="35"/>
      <c r="B17" s="37"/>
      <c r="C17" s="62" t="str">
        <f t="shared" si="0"/>
        <v/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</row>
    <row r="18" spans="1:26" x14ac:dyDescent="0.25">
      <c r="A18" s="35"/>
      <c r="B18" s="37"/>
      <c r="C18" s="62" t="str">
        <f t="shared" si="0"/>
        <v/>
      </c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</row>
    <row r="19" spans="1:26" x14ac:dyDescent="0.25">
      <c r="A19" s="35"/>
      <c r="B19" s="37"/>
      <c r="C19" s="62" t="str">
        <f t="shared" si="0"/>
        <v/>
      </c>
      <c r="D19" s="63"/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</row>
    <row r="20" spans="1:26" x14ac:dyDescent="0.25">
      <c r="A20" s="35"/>
      <c r="B20" s="37"/>
      <c r="C20" s="62" t="str">
        <f t="shared" si="0"/>
        <v/>
      </c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</row>
    <row r="21" spans="1:26" x14ac:dyDescent="0.25">
      <c r="A21" s="35"/>
      <c r="B21" s="37"/>
      <c r="C21" s="62" t="str">
        <f t="shared" si="0"/>
        <v/>
      </c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</row>
    <row r="22" spans="1:26" x14ac:dyDescent="0.25">
      <c r="A22" s="35"/>
      <c r="B22" s="37"/>
      <c r="C22" s="62" t="str">
        <f t="shared" si="0"/>
        <v/>
      </c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</row>
    <row r="23" spans="1:26" x14ac:dyDescent="0.25">
      <c r="A23" s="35"/>
      <c r="B23" s="37"/>
      <c r="C23" s="62" t="str">
        <f t="shared" si="0"/>
        <v/>
      </c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</row>
    <row r="24" spans="1:26" x14ac:dyDescent="0.25">
      <c r="A24" s="35"/>
      <c r="B24" s="37"/>
      <c r="C24" s="62" t="str">
        <f t="shared" si="0"/>
        <v/>
      </c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</row>
    <row r="25" spans="1:26" x14ac:dyDescent="0.25">
      <c r="A25" s="35"/>
      <c r="B25" s="37"/>
      <c r="C25" s="62" t="str">
        <f t="shared" si="0"/>
        <v/>
      </c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</row>
    <row r="26" spans="1:26" x14ac:dyDescent="0.25">
      <c r="A26" s="35"/>
      <c r="B26" s="37"/>
      <c r="C26" s="62" t="str">
        <f t="shared" si="0"/>
        <v/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</row>
    <row r="27" spans="1:26" x14ac:dyDescent="0.25">
      <c r="A27" s="35"/>
      <c r="B27" s="37"/>
      <c r="C27" s="62" t="str">
        <f t="shared" si="0"/>
        <v/>
      </c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</row>
    <row r="28" spans="1:26" x14ac:dyDescent="0.25">
      <c r="A28" s="35"/>
      <c r="B28" s="37"/>
      <c r="C28" s="62" t="str">
        <f t="shared" si="0"/>
        <v/>
      </c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</row>
    <row r="29" spans="1:26" x14ac:dyDescent="0.25">
      <c r="A29" s="35"/>
      <c r="B29" s="37"/>
      <c r="C29" s="62" t="str">
        <f t="shared" si="0"/>
        <v/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</row>
    <row r="30" spans="1:26" x14ac:dyDescent="0.25">
      <c r="A30" s="35"/>
      <c r="B30" s="37"/>
      <c r="C30" s="62" t="str">
        <f t="shared" si="0"/>
        <v/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</row>
    <row r="31" spans="1:26" x14ac:dyDescent="0.25">
      <c r="A31" s="35"/>
      <c r="B31" s="37"/>
      <c r="C31" s="62" t="str">
        <f t="shared" si="0"/>
        <v/>
      </c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</row>
    <row r="32" spans="1:26" x14ac:dyDescent="0.25">
      <c r="A32" s="35"/>
      <c r="B32" s="37"/>
      <c r="C32" s="62" t="str">
        <f t="shared" si="0"/>
        <v/>
      </c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</row>
    <row r="33" spans="1:26" x14ac:dyDescent="0.25">
      <c r="A33" s="35"/>
      <c r="B33" s="37"/>
      <c r="C33" s="62" t="str">
        <f t="shared" ref="C33:C96" si="1">IF(A33="","",((A33+B33)-($A$7+$B$7))*24)</f>
        <v/>
      </c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</row>
    <row r="34" spans="1:26" x14ac:dyDescent="0.25">
      <c r="A34" s="35"/>
      <c r="B34" s="37"/>
      <c r="C34" s="62" t="str">
        <f t="shared" si="1"/>
        <v/>
      </c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</row>
    <row r="35" spans="1:26" x14ac:dyDescent="0.25">
      <c r="A35" s="35"/>
      <c r="B35" s="37"/>
      <c r="C35" s="62" t="str">
        <f t="shared" si="1"/>
        <v/>
      </c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</row>
    <row r="36" spans="1:26" x14ac:dyDescent="0.25">
      <c r="A36" s="35"/>
      <c r="B36" s="37"/>
      <c r="C36" s="62" t="str">
        <f t="shared" si="1"/>
        <v/>
      </c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</row>
    <row r="37" spans="1:26" x14ac:dyDescent="0.25">
      <c r="A37" s="35"/>
      <c r="B37" s="37"/>
      <c r="C37" s="62" t="str">
        <f t="shared" si="1"/>
        <v/>
      </c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</row>
    <row r="38" spans="1:26" x14ac:dyDescent="0.25">
      <c r="A38" s="35"/>
      <c r="B38" s="37"/>
      <c r="C38" s="62" t="str">
        <f t="shared" si="1"/>
        <v/>
      </c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</row>
    <row r="39" spans="1:26" x14ac:dyDescent="0.25">
      <c r="A39" s="35"/>
      <c r="B39" s="37"/>
      <c r="C39" s="62" t="str">
        <f t="shared" si="1"/>
        <v/>
      </c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</row>
    <row r="40" spans="1:26" x14ac:dyDescent="0.25">
      <c r="A40" s="35"/>
      <c r="B40" s="37"/>
      <c r="C40" s="62" t="str">
        <f t="shared" si="1"/>
        <v/>
      </c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</row>
    <row r="41" spans="1:26" x14ac:dyDescent="0.25">
      <c r="A41" s="35"/>
      <c r="B41" s="37"/>
      <c r="C41" s="62" t="str">
        <f t="shared" si="1"/>
        <v/>
      </c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</row>
    <row r="42" spans="1:26" x14ac:dyDescent="0.25">
      <c r="A42" s="35"/>
      <c r="B42" s="37"/>
      <c r="C42" s="62" t="str">
        <f t="shared" si="1"/>
        <v/>
      </c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</row>
    <row r="43" spans="1:26" x14ac:dyDescent="0.25">
      <c r="A43" s="35"/>
      <c r="B43" s="37"/>
      <c r="C43" s="62" t="str">
        <f t="shared" si="1"/>
        <v/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</row>
    <row r="44" spans="1:26" x14ac:dyDescent="0.25">
      <c r="A44" s="35"/>
      <c r="B44" s="37"/>
      <c r="C44" s="62" t="str">
        <f t="shared" si="1"/>
        <v/>
      </c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</row>
    <row r="45" spans="1:26" x14ac:dyDescent="0.25">
      <c r="A45" s="35"/>
      <c r="B45" s="37"/>
      <c r="C45" s="62" t="str">
        <f t="shared" si="1"/>
        <v/>
      </c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</row>
    <row r="46" spans="1:26" x14ac:dyDescent="0.25">
      <c r="A46" s="35"/>
      <c r="B46" s="37"/>
      <c r="C46" s="62" t="str">
        <f t="shared" si="1"/>
        <v/>
      </c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</row>
    <row r="47" spans="1:26" x14ac:dyDescent="0.25">
      <c r="A47" s="35"/>
      <c r="B47" s="37"/>
      <c r="C47" s="62" t="str">
        <f t="shared" si="1"/>
        <v/>
      </c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</row>
    <row r="48" spans="1:26" x14ac:dyDescent="0.25">
      <c r="A48" s="35"/>
      <c r="B48" s="37"/>
      <c r="C48" s="62" t="str">
        <f t="shared" si="1"/>
        <v/>
      </c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</row>
    <row r="49" spans="1:26" x14ac:dyDescent="0.25">
      <c r="A49" s="35"/>
      <c r="B49" s="37"/>
      <c r="C49" s="62" t="str">
        <f t="shared" si="1"/>
        <v/>
      </c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</row>
    <row r="50" spans="1:26" x14ac:dyDescent="0.25">
      <c r="A50" s="35"/>
      <c r="B50" s="37"/>
      <c r="C50" s="62" t="str">
        <f t="shared" si="1"/>
        <v/>
      </c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</row>
    <row r="51" spans="1:26" x14ac:dyDescent="0.25">
      <c r="A51" s="35"/>
      <c r="B51" s="37"/>
      <c r="C51" s="62" t="str">
        <f t="shared" si="1"/>
        <v/>
      </c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</row>
    <row r="52" spans="1:26" x14ac:dyDescent="0.25">
      <c r="A52" s="35"/>
      <c r="B52" s="37"/>
      <c r="C52" s="62" t="str">
        <f t="shared" si="1"/>
        <v/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</row>
    <row r="53" spans="1:26" x14ac:dyDescent="0.25">
      <c r="A53" s="35"/>
      <c r="B53" s="37"/>
      <c r="C53" s="62" t="str">
        <f t="shared" si="1"/>
        <v/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</row>
    <row r="54" spans="1:26" x14ac:dyDescent="0.25">
      <c r="A54" s="35"/>
      <c r="B54" s="37"/>
      <c r="C54" s="62" t="str">
        <f t="shared" si="1"/>
        <v/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</row>
    <row r="55" spans="1:26" x14ac:dyDescent="0.25">
      <c r="A55" s="35"/>
      <c r="B55" s="37"/>
      <c r="C55" s="62" t="str">
        <f t="shared" si="1"/>
        <v/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</row>
    <row r="56" spans="1:26" x14ac:dyDescent="0.25">
      <c r="A56" s="35"/>
      <c r="B56" s="37"/>
      <c r="C56" s="62" t="str">
        <f t="shared" si="1"/>
        <v/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</row>
    <row r="57" spans="1:26" x14ac:dyDescent="0.25">
      <c r="A57" s="35"/>
      <c r="B57" s="37"/>
      <c r="C57" s="62" t="str">
        <f t="shared" si="1"/>
        <v/>
      </c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</row>
    <row r="58" spans="1:26" x14ac:dyDescent="0.25">
      <c r="A58" s="35"/>
      <c r="B58" s="37"/>
      <c r="C58" s="62" t="str">
        <f t="shared" si="1"/>
        <v/>
      </c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</row>
    <row r="59" spans="1:26" x14ac:dyDescent="0.25">
      <c r="A59" s="35"/>
      <c r="B59" s="37"/>
      <c r="C59" s="62" t="str">
        <f t="shared" si="1"/>
        <v/>
      </c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</row>
    <row r="60" spans="1:26" x14ac:dyDescent="0.25">
      <c r="A60" s="35"/>
      <c r="B60" s="37"/>
      <c r="C60" s="62" t="str">
        <f t="shared" si="1"/>
        <v/>
      </c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</row>
    <row r="61" spans="1:26" x14ac:dyDescent="0.25">
      <c r="A61" s="35"/>
      <c r="B61" s="37"/>
      <c r="C61" s="62" t="str">
        <f t="shared" si="1"/>
        <v/>
      </c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</row>
    <row r="62" spans="1:26" x14ac:dyDescent="0.25">
      <c r="A62" s="35"/>
      <c r="B62" s="37"/>
      <c r="C62" s="62" t="str">
        <f t="shared" si="1"/>
        <v/>
      </c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</row>
    <row r="63" spans="1:26" x14ac:dyDescent="0.25">
      <c r="A63" s="35"/>
      <c r="B63" s="37"/>
      <c r="C63" s="62" t="str">
        <f t="shared" si="1"/>
        <v/>
      </c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</row>
    <row r="64" spans="1:26" x14ac:dyDescent="0.25">
      <c r="A64" s="35"/>
      <c r="B64" s="37"/>
      <c r="C64" s="62" t="str">
        <f t="shared" si="1"/>
        <v/>
      </c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</row>
    <row r="65" spans="1:26" x14ac:dyDescent="0.25">
      <c r="A65" s="35"/>
      <c r="B65" s="37"/>
      <c r="C65" s="62" t="str">
        <f t="shared" si="1"/>
        <v/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</row>
    <row r="66" spans="1:26" x14ac:dyDescent="0.25">
      <c r="A66" s="35"/>
      <c r="B66" s="37"/>
      <c r="C66" s="62" t="str">
        <f t="shared" si="1"/>
        <v/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</row>
    <row r="67" spans="1:26" x14ac:dyDescent="0.25">
      <c r="A67" s="35"/>
      <c r="B67" s="37"/>
      <c r="C67" s="62" t="str">
        <f t="shared" si="1"/>
        <v/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</row>
    <row r="68" spans="1:26" x14ac:dyDescent="0.25">
      <c r="A68" s="35"/>
      <c r="B68" s="37"/>
      <c r="C68" s="62" t="str">
        <f t="shared" si="1"/>
        <v/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</row>
    <row r="69" spans="1:26" x14ac:dyDescent="0.25">
      <c r="A69" s="35"/>
      <c r="B69" s="37"/>
      <c r="C69" s="62" t="str">
        <f t="shared" si="1"/>
        <v/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</row>
    <row r="70" spans="1:26" x14ac:dyDescent="0.25">
      <c r="A70" s="35"/>
      <c r="B70" s="37"/>
      <c r="C70" s="62" t="str">
        <f t="shared" si="1"/>
        <v/>
      </c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</row>
    <row r="71" spans="1:26" x14ac:dyDescent="0.25">
      <c r="A71" s="35"/>
      <c r="B71" s="37"/>
      <c r="C71" s="62" t="str">
        <f t="shared" si="1"/>
        <v/>
      </c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</row>
    <row r="72" spans="1:26" x14ac:dyDescent="0.25">
      <c r="A72" s="35"/>
      <c r="B72" s="37"/>
      <c r="C72" s="62" t="str">
        <f t="shared" si="1"/>
        <v/>
      </c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</row>
    <row r="73" spans="1:26" x14ac:dyDescent="0.25">
      <c r="A73" s="35"/>
      <c r="B73" s="37"/>
      <c r="C73" s="62" t="str">
        <f t="shared" si="1"/>
        <v/>
      </c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</row>
    <row r="74" spans="1:26" x14ac:dyDescent="0.25">
      <c r="A74" s="35"/>
      <c r="B74" s="37"/>
      <c r="C74" s="62" t="str">
        <f t="shared" si="1"/>
        <v/>
      </c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</row>
    <row r="75" spans="1:26" x14ac:dyDescent="0.25">
      <c r="A75" s="35"/>
      <c r="B75" s="37"/>
      <c r="C75" s="62" t="str">
        <f t="shared" si="1"/>
        <v/>
      </c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</row>
    <row r="76" spans="1:26" x14ac:dyDescent="0.25">
      <c r="A76" s="35"/>
      <c r="B76" s="37"/>
      <c r="C76" s="62" t="str">
        <f t="shared" si="1"/>
        <v/>
      </c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</row>
    <row r="77" spans="1:26" x14ac:dyDescent="0.25">
      <c r="A77" s="35"/>
      <c r="B77" s="37"/>
      <c r="C77" s="62" t="str">
        <f t="shared" si="1"/>
        <v/>
      </c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</row>
    <row r="78" spans="1:26" x14ac:dyDescent="0.25">
      <c r="A78" s="35"/>
      <c r="B78" s="37"/>
      <c r="C78" s="62" t="str">
        <f t="shared" si="1"/>
        <v/>
      </c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</row>
    <row r="79" spans="1:26" x14ac:dyDescent="0.25">
      <c r="A79" s="35"/>
      <c r="B79" s="37"/>
      <c r="C79" s="62" t="str">
        <f t="shared" si="1"/>
        <v/>
      </c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</row>
    <row r="80" spans="1:26" x14ac:dyDescent="0.25">
      <c r="A80" s="35"/>
      <c r="B80" s="37"/>
      <c r="C80" s="62" t="str">
        <f t="shared" si="1"/>
        <v/>
      </c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</row>
    <row r="81" spans="1:26" x14ac:dyDescent="0.25">
      <c r="A81" s="35"/>
      <c r="B81" s="37"/>
      <c r="C81" s="62" t="str">
        <f t="shared" si="1"/>
        <v/>
      </c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</row>
    <row r="82" spans="1:26" x14ac:dyDescent="0.25">
      <c r="A82" s="35"/>
      <c r="B82" s="37"/>
      <c r="C82" s="62" t="str">
        <f t="shared" si="1"/>
        <v/>
      </c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</row>
    <row r="83" spans="1:26" x14ac:dyDescent="0.25">
      <c r="A83" s="35"/>
      <c r="B83" s="37"/>
      <c r="C83" s="62" t="str">
        <f t="shared" si="1"/>
        <v/>
      </c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</row>
    <row r="84" spans="1:26" x14ac:dyDescent="0.25">
      <c r="A84" s="35"/>
      <c r="B84" s="37"/>
      <c r="C84" s="62" t="str">
        <f t="shared" si="1"/>
        <v/>
      </c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</row>
    <row r="85" spans="1:26" x14ac:dyDescent="0.25">
      <c r="A85" s="35"/>
      <c r="B85" s="37"/>
      <c r="C85" s="62" t="str">
        <f t="shared" si="1"/>
        <v/>
      </c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</row>
    <row r="86" spans="1:26" x14ac:dyDescent="0.25">
      <c r="A86" s="35"/>
      <c r="B86" s="37"/>
      <c r="C86" s="62" t="str">
        <f t="shared" si="1"/>
        <v/>
      </c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</row>
    <row r="87" spans="1:26" x14ac:dyDescent="0.25">
      <c r="A87" s="35"/>
      <c r="B87" s="37"/>
      <c r="C87" s="62" t="str">
        <f t="shared" si="1"/>
        <v/>
      </c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</row>
    <row r="88" spans="1:26" x14ac:dyDescent="0.25">
      <c r="A88" s="35"/>
      <c r="B88" s="37"/>
      <c r="C88" s="62" t="str">
        <f t="shared" si="1"/>
        <v/>
      </c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</row>
    <row r="89" spans="1:26" x14ac:dyDescent="0.25">
      <c r="A89" s="35"/>
      <c r="B89" s="37"/>
      <c r="C89" s="62" t="str">
        <f t="shared" si="1"/>
        <v/>
      </c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</row>
    <row r="90" spans="1:26" x14ac:dyDescent="0.25">
      <c r="A90" s="35"/>
      <c r="B90" s="37"/>
      <c r="C90" s="62" t="str">
        <f t="shared" si="1"/>
        <v/>
      </c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</row>
    <row r="91" spans="1:26" x14ac:dyDescent="0.25">
      <c r="A91" s="35"/>
      <c r="B91" s="37"/>
      <c r="C91" s="62" t="str">
        <f t="shared" si="1"/>
        <v/>
      </c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</row>
    <row r="92" spans="1:26" x14ac:dyDescent="0.25">
      <c r="A92" s="35"/>
      <c r="B92" s="37"/>
      <c r="C92" s="62" t="str">
        <f t="shared" si="1"/>
        <v/>
      </c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</row>
    <row r="93" spans="1:26" x14ac:dyDescent="0.25">
      <c r="A93" s="35"/>
      <c r="B93" s="37"/>
      <c r="C93" s="62" t="str">
        <f t="shared" si="1"/>
        <v/>
      </c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</row>
    <row r="94" spans="1:26" x14ac:dyDescent="0.25">
      <c r="A94" s="35"/>
      <c r="B94" s="37"/>
      <c r="C94" s="62" t="str">
        <f t="shared" si="1"/>
        <v/>
      </c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</row>
    <row r="95" spans="1:26" x14ac:dyDescent="0.25">
      <c r="A95" s="35"/>
      <c r="B95" s="37"/>
      <c r="C95" s="62" t="str">
        <f t="shared" si="1"/>
        <v/>
      </c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</row>
    <row r="96" spans="1:26" x14ac:dyDescent="0.25">
      <c r="A96" s="35"/>
      <c r="B96" s="37"/>
      <c r="C96" s="62" t="str">
        <f t="shared" si="1"/>
        <v/>
      </c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</row>
    <row r="97" spans="1:26" x14ac:dyDescent="0.25">
      <c r="A97" s="35"/>
      <c r="B97" s="37"/>
      <c r="C97" s="62" t="str">
        <f>IF(A97="","",((A97+B97)-($A$7+$B$7))*24)</f>
        <v/>
      </c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</row>
    <row r="98" spans="1:26" x14ac:dyDescent="0.25">
      <c r="A98" s="35"/>
      <c r="B98" s="37"/>
      <c r="C98" s="62" t="str">
        <f>IF(A98="","",((A98+B98)-($A$7+$B$7))*24)</f>
        <v/>
      </c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</row>
    <row r="99" spans="1:26" x14ac:dyDescent="0.25">
      <c r="A99" s="35"/>
      <c r="B99" s="37"/>
      <c r="C99" s="62" t="str">
        <f>IF(A99="","",((A99+B99)-($A$7+$B$7))*24)</f>
        <v/>
      </c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</row>
    <row r="100" spans="1:26" x14ac:dyDescent="0.25">
      <c r="A100" s="35"/>
      <c r="B100" s="37"/>
      <c r="C100" s="62" t="str">
        <f>IF(A100="","",((A100+B100)-($A$7+$B$7))*24)</f>
        <v/>
      </c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</row>
  </sheetData>
  <sheetProtection selectLockedCells="1"/>
  <mergeCells count="35">
    <mergeCell ref="R3:T3"/>
    <mergeCell ref="U4:W4"/>
    <mergeCell ref="U3:W3"/>
    <mergeCell ref="U5:W5"/>
    <mergeCell ref="X2:Z2"/>
    <mergeCell ref="X3:Z3"/>
    <mergeCell ref="X4:Z4"/>
    <mergeCell ref="X5:Z5"/>
    <mergeCell ref="O4:Q4"/>
    <mergeCell ref="R4:T4"/>
    <mergeCell ref="O5:Q5"/>
    <mergeCell ref="R5:T5"/>
    <mergeCell ref="I1:K1"/>
    <mergeCell ref="I3:K3"/>
    <mergeCell ref="I4:K4"/>
    <mergeCell ref="I5:K5"/>
    <mergeCell ref="L3:N3"/>
    <mergeCell ref="L4:N4"/>
    <mergeCell ref="L5:N5"/>
    <mergeCell ref="I2:N2"/>
    <mergeCell ref="O2:T2"/>
    <mergeCell ref="L1:Z1"/>
    <mergeCell ref="U2:W2"/>
    <mergeCell ref="O3:Q3"/>
    <mergeCell ref="D4:H4"/>
    <mergeCell ref="D5:H5"/>
    <mergeCell ref="G1:H1"/>
    <mergeCell ref="D1:E1"/>
    <mergeCell ref="A1:C1"/>
    <mergeCell ref="A2:C2"/>
    <mergeCell ref="A3:C3"/>
    <mergeCell ref="D2:H2"/>
    <mergeCell ref="D3:H3"/>
    <mergeCell ref="A4:C4"/>
    <mergeCell ref="A5:C5"/>
  </mergeCells>
  <pageMargins left="0.7" right="0.7" top="0.75" bottom="0.75" header="0.3" footer="0.3"/>
  <pageSetup paperSize="9" scale="57" fitToHeight="0" orientation="landscape" r:id="rId1"/>
  <headerFooter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DataBase</vt:lpstr>
      <vt:lpstr>Input</vt:lpstr>
      <vt:lpstr>Results</vt:lpstr>
      <vt:lpstr>Blad1</vt:lpstr>
      <vt:lpstr>TCN</vt:lpstr>
      <vt:lpstr>Summary</vt:lpstr>
      <vt:lpstr>Test Data Sheet</vt:lpstr>
      <vt:lpstr>'Test Data Sheet'!Print_Titles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K. Disco</dc:creator>
  <cp:lastModifiedBy>Grotens, Martijn</cp:lastModifiedBy>
  <cp:lastPrinted>2026-08-06T05:04:02Z</cp:lastPrinted>
  <dcterms:created xsi:type="dcterms:W3CDTF">2015-08-04T17:47:03Z</dcterms:created>
  <dcterms:modified xsi:type="dcterms:W3CDTF">2026-08-06T05:12:03Z</dcterms:modified>
</cp:coreProperties>
</file>